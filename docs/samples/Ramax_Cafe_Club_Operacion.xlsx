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3de440cb1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47f9a5d7e4b4d6f"/>
    <x:sheet xmlns:r="http://schemas.openxmlformats.org/officeDocument/2006/relationships" name="Parámetros" sheetId="2" r:id="R33ec704b2bb94808"/>
    <x:sheet xmlns:r="http://schemas.openxmlformats.org/officeDocument/2006/relationships" name="Productos" sheetId="3" r:id="R23b1b0fff32d40d8"/>
    <x:sheet xmlns:r="http://schemas.openxmlformats.org/officeDocument/2006/relationships" name="Recetas e insumos" sheetId="4" r:id="R00eeb792cdf747a5"/>
    <x:sheet xmlns:r="http://schemas.openxmlformats.org/officeDocument/2006/relationships" name="Stock actual" sheetId="5" r:id="R566db7c9781746b0"/>
    <x:sheet xmlns:r="http://schemas.openxmlformats.org/officeDocument/2006/relationships" name="Mov. stock" sheetId="6" r:id="Rde81dfbf18924f26"/>
    <x:sheet xmlns:r="http://schemas.openxmlformats.org/officeDocument/2006/relationships" name="Proveedores y compras" sheetId="7" r:id="Rcd5115a93b834972"/>
    <x:sheet xmlns:r="http://schemas.openxmlformats.org/officeDocument/2006/relationships" name="Ventas" sheetId="8" r:id="R61b187d8d0744cb6"/>
    <x:sheet xmlns:r="http://schemas.openxmlformats.org/officeDocument/2006/relationships" name="Detalle ventas" sheetId="9" r:id="R5f03834812454151"/>
    <x:sheet xmlns:r="http://schemas.openxmlformats.org/officeDocument/2006/relationships" name="Socios" sheetId="10" r:id="R5c2faa852ef34d02"/>
    <x:sheet xmlns:r="http://schemas.openxmlformats.org/officeDocument/2006/relationships" name="Mov. puntos" sheetId="11" r:id="R0f48436c544f4974"/>
    <x:sheet xmlns:r="http://schemas.openxmlformats.org/officeDocument/2006/relationships" name="Recompensas y canjes" sheetId="12" r:id="R5782f519656c4d60"/>
    <x:sheet xmlns:r="http://schemas.openxmlformats.org/officeDocument/2006/relationships" name="Caja" sheetId="13" r:id="R3adbbb68d39e4481"/>
    <x:sheet xmlns:r="http://schemas.openxmlformats.org/officeDocument/2006/relationships" name="Gastos" sheetId="14" r:id="R842be9b38e59410b"/>
    <x:sheet xmlns:r="http://schemas.openxmlformats.org/officeDocument/2006/relationships" name="Empleados y usuarios" sheetId="15" r:id="Rf67951aa23324908"/>
    <x:sheet xmlns:r="http://schemas.openxmlformats.org/officeDocument/2006/relationships" name="Campañas" sheetId="16" r:id="Rdbd7e8ffedf940e4"/>
    <x:sheet xmlns:r="http://schemas.openxmlformats.org/officeDocument/2006/relationships" name="Auditoría" sheetId="17" r:id="R56a391d1526b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0.0%"/>
    <x:numFmt numFmtId="202" formatCode="$#,##0"/>
    <x:numFmt numFmtId="203" formatCode="dd/mm/yyyy hh:mm"/>
    <x:numFmt numFmtId="204" formatCode="#,##0"/>
  </x:numFmts>
  <x:fonts count="10">
    <x:font>
      <x:sz val="11"/>
      <x:name val="Carlito"/>
    </x:font>
    <x:font>
      <x:b/>
      <x:sz val="16"/>
      <x:color rgb="FF3B2416"/>
      <x:name val="Arial"/>
    </x:font>
    <x:font>
      <x:b/>
      <x:sz val="10"/>
      <x:color rgb="FFFFFFFF"/>
      <x:name val="Arial"/>
    </x:font>
    <x:font>
      <x:sz val="10"/>
      <x:color rgb="FF2D241F"/>
      <x:name val="Arial"/>
    </x:font>
    <x:font>
      <x:i/>
      <x:sz val="10"/>
      <x:color rgb="FF6B625C"/>
      <x:name val="Arial"/>
    </x:font>
    <x:font>
      <x:b/>
      <x:sz val="10"/>
      <x:color rgb="FF6B3E26"/>
      <x:name val="Arial"/>
    </x:font>
    <x:font>
      <x:b/>
      <x:sz val="15"/>
      <x:color rgb="FF3B2416"/>
      <x:name val="Arial"/>
    </x:font>
    <x:font>
      <x:b/>
      <x:sz val="10"/>
      <x:color rgb="FF3B2416"/>
      <x:name val="Arial"/>
    </x:font>
    <x:font>
      <x:b/>
      <x:sz val="10"/>
      <x:color rgb="FF2D241F"/>
      <x:name val="Arial"/>
    </x:font>
    <x:font>
      <x:i/>
      <x:sz val="10"/>
      <x:color rgb="FF2D24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B2416"/>
      </x:patternFill>
    </x:fill>
    <x:fill>
      <x:patternFill patternType="solid">
        <x:fgColor rgb="FFFFF2CC"/>
      </x:patternFill>
    </x:fill>
    <x:fill>
      <x:patternFill patternType="solid">
        <x:fgColor rgb="FFF5E8D3"/>
      </x:patternFill>
    </x:fill>
    <x:fill>
      <x:patternFill patternType="solid">
        <x:fgColor rgb="FFE8D1AF"/>
      </x:patternFill>
    </x:fill>
  </x:fills>
  <x:borders count="21">
    <x:border/>
    <x:border>
      <x:bottom style="medium">
        <x:color rgb="FFD7A84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8C8B8"/>
      </x:right>
      <x:bottom style="thin">
        <x:color rgb="FFD8C8B8"/>
      </x:bottom>
    </x:border>
    <x:border>
      <x:left style="thin">
        <x:color rgb="FFD8C8B8"/>
      </x:left>
      <x:right style="thin">
        <x:color rgb="FFD8C8B8"/>
      </x:right>
      <x:bottom style="thin">
        <x:color rgb="FFD8C8B8"/>
      </x:bottom>
    </x:border>
    <x:border>
      <x:left style="thin">
        <x:color rgb="FFD8C8B8"/>
      </x:left>
      <x:bottom style="thin">
        <x:color rgb="FFD8C8B8"/>
      </x:bottom>
    </x:border>
    <x:border>
      <x:right style="thin">
        <x:color rgb="FFD8C8B8"/>
      </x:right>
      <x:top style="thin">
        <x:color rgb="FFD8C8B8"/>
      </x:top>
      <x:bottom style="thin">
        <x:color rgb="FFD8C8B8"/>
      </x:bottom>
    </x:border>
    <x:border>
      <x:left style="thin">
        <x:color rgb="FFD8C8B8"/>
      </x:left>
      <x:right style="thin">
        <x:color rgb="FFD8C8B8"/>
      </x:right>
      <x:top style="thin">
        <x:color rgb="FFD8C8B8"/>
      </x:top>
      <x:bottom style="thin">
        <x:color rgb="FFD8C8B8"/>
      </x:bottom>
    </x:border>
    <x:border>
      <x:left style="thin">
        <x:color rgb="FFD8C8B8"/>
      </x:left>
      <x:top style="thin">
        <x:color rgb="FFD8C8B8"/>
      </x:top>
      <x:bottom style="thin">
        <x:color rgb="FFD8C8B8"/>
      </x:bottom>
    </x:border>
    <x:border>
      <x:right style="thin">
        <x:color rgb="FFD8C8B8"/>
      </x:right>
      <x:top style="thin">
        <x:color rgb="FFD8C8B8"/>
      </x:top>
    </x:border>
    <x:border>
      <x:left style="thin">
        <x:color rgb="FFD8C8B8"/>
      </x:left>
      <x:right style="thin">
        <x:color rgb="FFD8C8B8"/>
      </x:right>
      <x:top style="thin">
        <x:color rgb="FFD8C8B8"/>
      </x:top>
    </x:border>
    <x:border>
      <x:left style="thin">
        <x:color rgb="FFD8C8B8"/>
      </x:left>
      <x:top style="thin">
        <x:color rgb="FFD8C8B8"/>
      </x:top>
    </x:border>
    <x:border>
      <x:left style="thin">
        <x:color rgb="FFE8D1AF"/>
      </x:left>
      <x:top style="thin">
        <x:color rgb="FFE8D1AF"/>
      </x:top>
    </x:border>
    <x:border>
      <x:right style="thin">
        <x:color rgb="FFE8D1AF"/>
      </x:right>
      <x:top style="thin">
        <x:color rgb="FFE8D1AF"/>
      </x:top>
    </x:border>
    <x:border>
      <x:left style="thin">
        <x:color rgb="FFE8D1AF"/>
      </x:left>
    </x:border>
    <x:border>
      <x:right style="thin">
        <x:color rgb="FFE8D1AF"/>
      </x:right>
    </x:border>
    <x:border>
      <x:left style="thin">
        <x:color rgb="FFE8D1AF"/>
      </x:left>
      <x:bottom style="thin">
        <x:color rgb="FFE8D1AF"/>
      </x:bottom>
    </x:border>
    <x:border>
      <x:right style="thin">
        <x:color rgb="FFE8D1AF"/>
      </x:right>
      <x:bottom style="thin">
        <x:color rgb="FFE8D1AF"/>
      </x:bottom>
    </x:border>
    <x:border>
      <x:left style="thin">
        <x:color rgb="FF6B3E26"/>
      </x:left>
      <x:top style="thin">
        <x:color rgb="FF6B3E26"/>
      </x:top>
      <x:bottom style="thin">
        <x:color rgb="FF6B3E26"/>
      </x:bottom>
    </x:border>
    <x:border>
      <x:top style="thin">
        <x:color rgb="FF6B3E26"/>
      </x:top>
      <x:bottom style="thin">
        <x:color rgb="FF6B3E26"/>
      </x:bottom>
    </x:border>
    <x:border>
      <x:right style="thin">
        <x:color rgb="FF6B3E26"/>
      </x:right>
      <x:top style="thin">
        <x:color rgb="FF6B3E26"/>
      </x:top>
      <x:bottom style="thin">
        <x:color rgb="FF6B3E26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200" fontId="3" fillId="3" borderId="4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201" fontId="3" fillId="3" borderId="7" xfId="0" applyNumberFormat="1" applyFont="1" applyFill="1" applyBorder="1" applyAlignment="1">
      <x:alignment vertical="center"/>
    </x:xf>
    <x:xf numFmtId="202" fontId="3" fillId="3" borderId="7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202" fontId="3" fillId="0" borderId="1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201" fontId="3" fillId="0" borderId="10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3" fontId="3" fillId="0" borderId="7" xfId="0" applyNumberFormat="1" applyFont="1" applyFill="1" applyBorder="1" applyAlignment="1">
      <x:alignment vertical="center"/>
    </x:xf>
    <x:xf numFmtId="203" fontId="3" fillId="0" borderId="10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201" fontId="3" fillId="0" borderId="1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5" fillId="4" borderId="12" xfId="0" applyNumberFormat="1" applyFont="1" applyFill="1" applyBorder="1"/>
    <x:xf numFmtId="0" fontId="6" fillId="4" borderId="14" xfId="0" applyNumberFormat="1" applyFont="1" applyFill="1" applyBorder="1"/>
    <x:xf numFmtId="202" fontId="6" fillId="4" borderId="14" xfId="0" applyNumberFormat="1" applyFont="1" applyFill="1" applyBorder="1"/>
    <x:xf numFmtId="204" fontId="6" fillId="4" borderId="14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202" fontId="3" fillId="0" borderId="5" xfId="0" applyNumberFormat="1" applyFont="1" applyFill="1" applyBorder="1" applyAlignment="1">
      <x:alignment vertical="center"/>
    </x:xf>
    <x:xf numFmtId="202" fontId="3" fillId="0" borderId="8" xfId="0" applyNumberFormat="1" applyFont="1" applyFill="1" applyBorder="1" applyAlignment="1">
      <x:alignment vertical="center"/>
    </x:xf>
    <x:xf numFmtId="202" fontId="3" fillId="0" borderId="1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9" fillId="0" borderId="0" xfId="0" applyNumberFormat="1" applyFont="1" applyFill="1" applyBorder="1"/>
    <x:xf numFmtId="0" fontId="8" fillId="4" borderId="12" xfId="0" applyNumberFormat="1" applyFont="1" applyFill="1" applyBorder="1"/>
    <x:xf numFmtId="0" fontId="3" fillId="4" borderId="13" xfId="0" applyNumberFormat="1" applyFont="1" applyFill="1" applyBorder="1"/>
    <x:xf numFmtId="202" fontId="8" fillId="4" borderId="14" xfId="0" applyNumberFormat="1" applyFont="1" applyFill="1" applyBorder="1"/>
    <x:xf numFmtId="0" fontId="3" fillId="4" borderId="15" xfId="0" applyNumberFormat="1" applyFont="1" applyFill="1" applyBorder="1"/>
    <x:xf numFmtId="204" fontId="8" fillId="4" borderId="14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8" fillId="5" borderId="18" xfId="0" applyNumberFormat="1" applyFont="1" applyFill="1" applyBorder="1"/>
    <x:xf numFmtId="0" fontId="8" fillId="5" borderId="19" xfId="0" applyNumberFormat="1" applyFont="1" applyFill="1" applyBorder="1"/>
    <x:xf numFmtId="0" fontId="8" fillId="5" borderId="20" xfId="0" applyNumberFormat="1" applyFont="1" applyFill="1" applyBorder="1"/>
    <x:xf numFmtId="0" fontId="8" fillId="2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4" borderId="12" xfId="0" applyNumberFormat="1" applyFont="1" applyFill="1" applyBorder="1" applyAlignment="1">
      <x:alignment vertical="center"/>
    </x:xf>
    <x:xf numFmtId="0" fontId="3" fillId="4" borderId="13" xfId="0" applyNumberFormat="1" applyFont="1" applyFill="1" applyBorder="1" applyAlignment="1">
      <x:alignment vertical="center"/>
    </x:xf>
    <x:xf numFmtId="202" fontId="8" fillId="4" borderId="14" xfId="0" applyNumberFormat="1" applyFont="1" applyFill="1" applyBorder="1" applyAlignment="1">
      <x:alignment vertical="center"/>
    </x:xf>
    <x:xf numFmtId="0" fontId="3" fillId="4" borderId="15" xfId="0" applyNumberFormat="1" applyFont="1" applyFill="1" applyBorder="1" applyAlignment="1">
      <x:alignment vertical="center"/>
    </x:xf>
    <x:xf numFmtId="204" fontId="8" fillId="4" borderId="14" xfId="0" applyNumberFormat="1" applyFont="1" applyFill="1" applyBorder="1" applyAlignment="1">
      <x:alignment vertical="center"/>
    </x:xf>
    <x:xf numFmtId="0" fontId="3" fillId="4" borderId="16" xfId="0" applyNumberFormat="1" applyFont="1" applyFill="1" applyBorder="1" applyAlignment="1">
      <x:alignment vertical="center"/>
    </x:xf>
    <x:xf numFmtId="0" fontId="3" fillId="4" borderId="17" xfId="0" applyNumberFormat="1" applyFont="1" applyFill="1" applyBorder="1" applyAlignment="1">
      <x:alignment vertical="center"/>
    </x:xf>
    <x:xf numFmtId="0" fontId="8" fillId="5" borderId="18" xfId="0" applyNumberFormat="1" applyFont="1" applyFill="1" applyBorder="1" applyAlignment="1">
      <x:alignment vertical="center"/>
    </x:xf>
    <x:xf numFmtId="0" fontId="8" fillId="5" borderId="19" xfId="0" applyNumberFormat="1" applyFont="1" applyFill="1" applyBorder="1" applyAlignment="1">
      <x:alignment vertical="center"/>
    </x:xf>
    <x:xf numFmtId="0" fontId="8" fillId="5" borderId="20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9C0006"/>
      </x:font>
      <x:fill>
        <x:patternFill patternType="solid">
          <x:bgColor rgb="FFF8D7DA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8D7DA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d140807c314b3a" /><Relationship Type="http://schemas.openxmlformats.org/officeDocument/2006/relationships/theme" Target="/xl/theme/theme1.xml" Id="R3f8a2bf1ebe746d1" /><Relationship Type="http://schemas.openxmlformats.org/officeDocument/2006/relationships/sharedStrings" Target="/xl/sharedStrings.xml" Id="Rc128544caa114b47" /><Relationship Type="http://schemas.openxmlformats.org/officeDocument/2006/relationships/worksheet" Target="/xl/worksheets/sheet1.xml" Id="R447f9a5d7e4b4d6f" /><Relationship Type="http://schemas.openxmlformats.org/officeDocument/2006/relationships/worksheet" Target="/xl/worksheets/sheet2.xml" Id="R33ec704b2bb94808" /><Relationship Type="http://schemas.openxmlformats.org/officeDocument/2006/relationships/worksheet" Target="/xl/worksheets/sheet3.xml" Id="R23b1b0fff32d40d8" /><Relationship Type="http://schemas.openxmlformats.org/officeDocument/2006/relationships/worksheet" Target="/xl/worksheets/sheet4.xml" Id="R00eeb792cdf747a5" /><Relationship Type="http://schemas.openxmlformats.org/officeDocument/2006/relationships/worksheet" Target="/xl/worksheets/sheet5.xml" Id="R566db7c9781746b0" /><Relationship Type="http://schemas.openxmlformats.org/officeDocument/2006/relationships/worksheet" Target="/xl/worksheets/sheet6.xml" Id="Rde81dfbf18924f26" /><Relationship Type="http://schemas.openxmlformats.org/officeDocument/2006/relationships/worksheet" Target="/xl/worksheets/sheet7.xml" Id="Rcd5115a93b834972" /><Relationship Type="http://schemas.openxmlformats.org/officeDocument/2006/relationships/worksheet" Target="/xl/worksheets/sheet8.xml" Id="R61b187d8d0744cb6" /><Relationship Type="http://schemas.openxmlformats.org/officeDocument/2006/relationships/worksheet" Target="/xl/worksheets/sheet9.xml" Id="R5f03834812454151" /><Relationship Type="http://schemas.openxmlformats.org/officeDocument/2006/relationships/worksheet" Target="/xl/worksheets/sheet10.xml" Id="R5c2faa852ef34d02" /><Relationship Type="http://schemas.openxmlformats.org/officeDocument/2006/relationships/worksheet" Target="/xl/worksheets/sheet11.xml" Id="R0f48436c544f4974" /><Relationship Type="http://schemas.openxmlformats.org/officeDocument/2006/relationships/worksheet" Target="/xl/worksheets/sheet12.xml" Id="R5782f519656c4d60" /><Relationship Type="http://schemas.openxmlformats.org/officeDocument/2006/relationships/worksheet" Target="/xl/worksheets/sheet13.xml" Id="R3adbbb68d39e4481" /><Relationship Type="http://schemas.openxmlformats.org/officeDocument/2006/relationships/worksheet" Target="/xl/worksheets/sheet14.xml" Id="R842be9b38e59410b" /><Relationship Type="http://schemas.openxmlformats.org/officeDocument/2006/relationships/worksheet" Target="/xl/worksheets/sheet15.xml" Id="Rf67951aa23324908" /><Relationship Type="http://schemas.openxmlformats.org/officeDocument/2006/relationships/worksheet" Target="/xl/worksheets/sheet16.xml" Id="Rdbd7e8ffedf940e4" /><Relationship Type="http://schemas.openxmlformats.org/officeDocument/2006/relationships/worksheet" Target="/xl/worksheets/sheet17.xml" Id="R56a391d1526b44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a693a36eab4620" /><Relationship Type="http://schemas.openxmlformats.org/officeDocument/2006/relationships/chart" Target="/xl/drawings/charts/chart2.xml" Id="Rd479e6f40d734e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Ventas por categoría (ARS)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Ventas</c:v>
          </c:tx>
          <c:spPr>
            <a:solidFill xmlns:a="http://schemas.openxmlformats.org/drawingml/2006/main">
              <a:srgbClr val="6B3E26"/>
            </a:solidFill>
          </c:spPr>
          <c:cat>
            <c:strRef>
              <c:f>'Dashboard'!$A$17:$A$20</c:f>
              <c:strCache>
                <c:ptCount val="0"/>
              </c:strCache>
            </c:strRef>
          </c:cat>
          <c:val>
            <c:numRef>
              <c:f>'Dashboard'!$B$17:$B$20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Embudo de campañas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Escaneos</c:v>
          </c:tx>
          <c:cat>
            <c:strRef>
              <c:f>'Dashboard'!$M$17:$M$19</c:f>
              <c:strCache>
                <c:ptCount val="0"/>
              </c:strCache>
            </c:strRef>
          </c:cat>
          <c:val>
            <c:numRef>
              <c:f>'Dashboard'!$N$17:$N$19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Compras</c:v>
          </c:tx>
          <c:cat>
            <c:strRef>
              <c:f>'Dashboard'!$M$17:$M$19</c:f>
              <c:strCache>
                <c:ptCount val="0"/>
              </c:strCache>
            </c:strRef>
          </c:cat>
          <c:val>
            <c:numRef>
              <c:f>'Dashboard'!$O$17:$O$19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a693a36eab4620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79e6f40d734e5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osTable" displayName="ProductosTable" ref="A5:L23" headerRowCount="1" totalsRowCount="0" totalsRowShown="0">
  <x:tableColumns count="12">
    <x:tableColumn id="1" name="ID"/>
    <x:tableColumn id="2" name="Producto"/>
    <x:tableColumn id="3" name="Categoría"/>
    <x:tableColumn id="4" name="Tipo"/>
    <x:tableColumn id="5" name="Precio venta"/>
    <x:tableColumn id="6" name="IVA"/>
    <x:tableColumn id="7" name="Precio final"/>
    <x:tableColumn id="8" name="Unidad"/>
    <x:tableColumn id="9" name="Puntos x ud."/>
    <x:tableColumn id="10" name="Acumula puntos"/>
    <x:tableColumn id="11" name="Estado"/>
    <x:tableColumn id="12" name="Descrip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etasTable" displayName="RecetasTable" ref="A5:H21" headerRowCount="1" totalsRowCount="0" totalsRowShown="0">
  <x:tableColumns count="8">
    <x:tableColumn id="1" name="ID receta"/>
    <x:tableColumn id="2" name="ID producto"/>
    <x:tableColumn id="3" name="Producto"/>
    <x:tableColumn id="4" name="ID insumo"/>
    <x:tableColumn id="5" name="Insumo"/>
    <x:tableColumn id="6" name="Cantidad"/>
    <x:tableColumn id="7" name="Unidad"/>
    <x:tableColumn id="8" name="No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tockActualTable" displayName="StockActualTable" ref="A5:K11" headerRowCount="1" totalsRowCount="0" totalsRowShown="0">
  <x:tableColumns count="11">
    <x:tableColumn id="1" name="ID insumo"/>
    <x:tableColumn id="2" name="Insumo"/>
    <x:tableColumn id="3" name="Unidad"/>
    <x:tableColumn id="4" name="Stock inicial"/>
    <x:tableColumn id="5" name="Mínimo"/>
    <x:tableColumn id="6" name="Costo unitario"/>
    <x:tableColumn id="7" name="Ingresos"/>
    <x:tableColumn id="8" name="Egresos"/>
    <x:tableColumn id="9" name="Stock actual"/>
    <x:tableColumn id="10" name="Valor stock"/>
    <x:tableColumn id="11" name="Es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MovStockTable" displayName="MovStockTable" ref="A5:K21" headerRowCount="1" totalsRowCount="0" totalsRowShown="0">
  <x:tableColumns count="11">
    <x:tableColumn id="1" name="ID mov."/>
    <x:tableColumn id="2" name="Fecha y hora"/>
    <x:tableColumn id="3" name="Tipo"/>
    <x:tableColumn id="4" name="ID insumo"/>
    <x:tableColumn id="5" name="Insumo"/>
    <x:tableColumn id="6" name="Sentido"/>
    <x:tableColumn id="7" name="Cantidad"/>
    <x:tableColumn id="8" name="Unidad"/>
    <x:tableColumn id="9" name="Referencia"/>
    <x:tableColumn id="10" name="Contraparte"/>
    <x:tableColumn id="11" name="Motiv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rasTable" displayName="ComprasTable" ref="A5:N11" headerRowCount="1" totalsRowCount="0" totalsRowShown="0">
  <x:tableColumns count="14">
    <x:tableColumn id="1" name="OC"/>
    <x:tableColumn id="2" name="Fecha"/>
    <x:tableColumn id="3" name="ID proveedor"/>
    <x:tableColumn id="4" name="Proveedor"/>
    <x:tableColumn id="5" name="Contacto"/>
    <x:tableColumn id="6" name="ID insumo"/>
    <x:tableColumn id="7" name="Insumo"/>
    <x:tableColumn id="8" name="Cantidad"/>
    <x:tableColumn id="9" name="Unidad"/>
    <x:tableColumn id="10" name="Costo unit."/>
    <x:tableColumn id="11" name="Subtotal"/>
    <x:tableColumn id="12" name="IVA"/>
    <x:tableColumn id="13" name="Total"/>
    <x:tableColumn id="14" name="Esta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entasTable" displayName="VentasTable" ref="A5:L10" headerRowCount="1" totalsRowCount="0" totalsRowShown="0">
  <x:tableColumns count="12">
    <x:tableColumn id="1" name="ID venta"/>
    <x:tableColumn id="2" name="Fecha y hora"/>
    <x:tableColumn id="3" name="Sucursal"/>
    <x:tableColumn id="4" name="ID socio"/>
    <x:tableColumn id="5" name="ID empleado"/>
    <x:tableColumn id="6" name="Medio pago"/>
    <x:tableColumn id="7" name="Total bruto"/>
    <x:tableColumn id="8" name="Descuento"/>
    <x:tableColumn id="9" name="Total cobrado"/>
    <x:tableColumn id="10" name="Estado"/>
    <x:tableColumn id="11" name="ID operación"/>
    <x:tableColumn id="12" name="Observació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talleVentasTable" displayName="DetalleVentasTable" ref="A5:H18" headerRowCount="1" totalsRowCount="0" totalsRowShown="0">
  <x:tableColumns count="8">
    <x:tableColumn id="1" name="ID venta"/>
    <x:tableColumn id="2" name="Línea"/>
    <x:tableColumn id="3" name="ID producto"/>
    <x:tableColumn id="4" name="Producto"/>
    <x:tableColumn id="5" name="Cantidad"/>
    <x:tableColumn id="6" name="Precio unit."/>
    <x:tableColumn id="7" name="Subtotal"/>
    <x:tableColumn id="8" name="Not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ciosTable" displayName="SociosTable" ref="A5:N10" headerRowCount="1" totalsRowCount="0" totalsRowShown="0">
  <x:tableColumns count="14">
    <x:tableColumn id="1" name="ID socio"/>
    <x:tableColumn id="2" name="Nombre"/>
    <x:tableColumn id="3" name="Teléfono"/>
    <x:tableColumn id="4" name="Email"/>
    <x:tableColumn id="5" name="Nacimiento"/>
    <x:tableColumn id="6" name="Estado"/>
    <x:tableColumn id="7" name="Identificador QR"/>
    <x:tableColumn id="8" name="Alta"/>
    <x:tableColumn id="9" name="Saldo puntos"/>
    <x:tableColumn id="10" name="Visitas"/>
    <x:tableColumn id="11" name="Canjes"/>
    <x:tableColumn id="12" name="Última visita"/>
    <x:tableColumn id="13" name="Términos"/>
    <x:tableColumn id="14" name="Not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ovPuntosTable" displayName="MovPuntosTable" ref="A5:L12" headerRowCount="1" totalsRowCount="0" totalsRowShown="0">
  <x:tableColumns count="12">
    <x:tableColumn id="1" name="ID mov."/>
    <x:tableColumn id="2" name="Fecha y hora"/>
    <x:tableColumn id="3" name="ID socio"/>
    <x:tableColumn id="4" name="Tipo"/>
    <x:tableColumn id="5" name="Concepto"/>
    <x:tableColumn id="6" name="Puntos"/>
    <x:tableColumn id="7" name="Referencia"/>
    <x:tableColumn id="8" name="ID operación"/>
    <x:tableColumn id="9" name="Empleado"/>
    <x:tableColumn id="10" name="Estado"/>
    <x:tableColumn id="11" name="Saldo posterior"/>
    <x:tableColumn id="12" name="Motivo / regl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njesTable" displayName="CanjesTable" ref="A5:L9" headerRowCount="1" totalsRowCount="0" totalsRowShown="0">
  <x:tableColumns count="12">
    <x:tableColumn id="1" name="ID recompensa"/>
    <x:tableColumn id="2" name="Recompensa"/>
    <x:tableColumn id="3" name="Descripción"/>
    <x:tableColumn id="4" name="Costo puntos"/>
    <x:tableColumn id="5" name="Stock"/>
    <x:tableColumn id="6" name="Inicio"/>
    <x:tableColumn id="7" name="Fin"/>
    <x:tableColumn id="8" name="ID socio"/>
    <x:tableColumn id="9" name="ID canje"/>
    <x:tableColumn id="10" name="Ticket canje"/>
    <x:tableColumn id="11" name="Estado"/>
    <x:tableColumn id="12" name="Not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jaTable" displayName="CajaTable" ref="A5:J9" headerRowCount="1" totalsRowCount="0" totalsRowShown="0">
  <x:tableColumns count="10">
    <x:tableColumn id="1" name="ID caja"/>
    <x:tableColumn id="2" name="Fecha y hora"/>
    <x:tableColumn id="3" name="Tipo"/>
    <x:tableColumn id="4" name="Referencia"/>
    <x:tableColumn id="5" name="Importe"/>
    <x:tableColumn id="6" name="Sentido"/>
    <x:tableColumn id="7" name="Responsable"/>
    <x:tableColumn id="8" name="Estado"/>
    <x:tableColumn id="9" name="Saldo acumulado"/>
    <x:tableColumn id="10" name="Nota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astosTable" displayName="GastosTable" ref="A5:J10" headerRowCount="1" totalsRowCount="0" totalsRowShown="0">
  <x:tableColumns count="10">
    <x:tableColumn id="1" name="ID gasto"/>
    <x:tableColumn id="2" name="Fecha"/>
    <x:tableColumn id="3" name="Categoría"/>
    <x:tableColumn id="4" name="Concepto"/>
    <x:tableColumn id="5" name="Importe"/>
    <x:tableColumn id="6" name="Medio pago"/>
    <x:tableColumn id="7" name="Responsable"/>
    <x:tableColumn id="8" name="Estado"/>
    <x:tableColumn id="9" name="Naturaleza"/>
    <x:tableColumn id="10" name="Nota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EmpleadosTable" displayName="EmpleadosTable" ref="A5:J8" headerRowCount="1" totalsRowCount="0" totalsRowShown="0">
  <x:tableColumns count="10">
    <x:tableColumn id="1" name="ID empleado"/>
    <x:tableColumn id="2" name="Nombre"/>
    <x:tableColumn id="3" name="Email"/>
    <x:tableColumn id="4" name="Rol"/>
    <x:tableColumn id="5" name="Estado"/>
    <x:tableColumn id="6" name="Ingreso"/>
    <x:tableColumn id="7" name="Turno"/>
    <x:tableColumn id="8" name="Permisos"/>
    <x:tableColumn id="9" name="Área"/>
    <x:tableColumn id="10" name="Nota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ampañasTable" displayName="CampañasTable" ref="A5:N8" headerRowCount="1" totalsRowCount="0" totalsRowShown="0">
  <x:tableColumns count="14">
    <x:tableColumn id="1" name="ID campaña"/>
    <x:tableColumn id="2" name="Nombre"/>
    <x:tableColumn id="3" name="Tipo"/>
    <x:tableColumn id="4" name="Inicio"/>
    <x:tableColumn id="5" name="Fin"/>
    <x:tableColumn id="6" name="QR distribuidos"/>
    <x:tableColumn id="7" name="Escaneos"/>
    <x:tableColumn id="8" name="Registros"/>
    <x:tableColumn id="9" name="Visitas"/>
    <x:tableColumn id="10" name="Compras"/>
    <x:tableColumn id="11" name="Premio puntos"/>
    <x:tableColumn id="12" name="Estado"/>
    <x:tableColumn id="13" name="Nota"/>
    <x:tableColumn id="14" name="Conversión comp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119e5de97a47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4a21d63eb1748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8a1065895d24a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bac671fd2c846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6b6de5440584d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26692288e2349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2362811548d43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5f5e9e8ec9f4ce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fd6ea13693d4d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fdf07c2a5a42e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5ec647813ae48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e79f6f6242dd495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854ad65a77f749b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25bd28b2a640426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b53d6eb3aee64a04" /></Relationships>
</file>

<file path=xl/worksheets/sheet1.xml><?xml version="1.0" encoding="utf-8"?>
<x:worksheet xmlns:x="http://schemas.openxmlformats.org/spreadsheetml/2006/main">
  <x:sheetPr>
    <x:tabColor rgb="FF3B2416"/>
  </x:sheetPr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5" hidden="0" customWidth="1"/>
    <x:col min="4" max="4" width="22" hidden="0" customWidth="1"/>
    <x:col min="5" max="5" width="16" hidden="0" customWidth="1"/>
    <x:col min="6" max="6" width="5" hidden="0" customWidth="1"/>
    <x:col min="7" max="7" width="22" hidden="0" customWidth="1"/>
    <x:col min="8" max="8" width="16" hidden="0" customWidth="1"/>
    <x:col min="9" max="9" width="5" hidden="0" customWidth="1"/>
    <x:col min="10" max="10" width="22" hidden="0" customWidth="1"/>
    <x:col min="11" max="11" width="16" hidden="0" customWidth="1"/>
    <x:col min="12" max="12" width="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12" customHeight="1"/>
    <x:row r="2" ht="15" hidden="0" customHeight="1">
      <x:c r="A2" s="68" t="str">
        <x:v>Ramax Café Club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</x:row>
    <x:row r="4" ht="15" hidden="0" customHeight="1">
      <x:c r="A4" s="84" t="str">
        <x:v>Control operativo y Club · Septiembre 2026</x:v>
      </x:c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  <x:c r="O4" s="82"/>
      <x:c r="P4" s="82"/>
    </x:row>
    <x:row r="5" ht="15" hidden="0" customHeight="1">
      <x:c r="A5" s="82"/>
      <x:c r="B5" s="82"/>
      <x:c r="C5" s="82"/>
      <x:c r="D5" s="82"/>
      <x:c r="E5" s="82"/>
      <x:c r="F5" s="82"/>
      <x:c r="G5" s="82"/>
      <x:c r="H5" s="82"/>
      <x:c r="I5" s="82"/>
      <x:c r="J5" s="82"/>
      <x:c r="K5" s="82"/>
      <x:c r="L5" s="82"/>
      <x:c r="M5" s="82"/>
      <x:c r="N5" s="82"/>
      <x:c r="O5" s="82"/>
      <x:c r="P5" s="82"/>
    </x:row>
    <x:row r="6" ht="15" hidden="0" customHeight="1">
      <x:c r="A6" s="85" t="str">
        <x:v>Ventas cobradas</x:v>
      </x:c>
      <x:c r="B6" s="86"/>
      <x:c r="C6" s="82"/>
      <x:c r="D6" s="85" t="str">
        <x:v>Socios activos</x:v>
      </x:c>
      <x:c r="E6" s="86"/>
      <x:c r="F6" s="82"/>
      <x:c r="G6" s="85" t="str">
        <x:v>Puntos entregados</x:v>
      </x:c>
      <x:c r="H6" s="86"/>
      <x:c r="I6" s="82"/>
      <x:c r="J6" s="85" t="str">
        <x:v>Canjes validados</x:v>
      </x:c>
      <x:c r="K6" s="86"/>
      <x:c r="L6" s="82"/>
      <x:c r="M6" s="82"/>
      <x:c r="N6" s="82"/>
      <x:c r="O6" s="82"/>
      <x:c r="P6" s="82"/>
    </x:row>
    <x:row r="7" ht="15" hidden="0" customHeight="1">
      <x:c r="A7" s="87" t="n">
        <x:f>SUMIFS('Ventas'!$I$6:$I$200,'Ventas'!$J$6:$J$200,"Abonada")</x:f>
        <x:v>362300</x:v>
      </x:c>
      <x:c r="B7" s="88"/>
      <x:c r="C7" s="82"/>
      <x:c r="D7" s="89" t="n">
        <x:f>COUNTIFS('Socios'!$F$6:$F$200,"Activo")</x:f>
        <x:v>4</x:v>
      </x:c>
      <x:c r="E7" s="88"/>
      <x:c r="F7" s="82"/>
      <x:c r="G7" s="89" t="n">
        <x:f>SUMIFS('Mov. puntos'!$F$6:$F$200,'Mov. puntos'!$F$6:$F$200,"&gt;0",'Mov. puntos'!$J$6:$J$200,"Confirmado")</x:f>
        <x:v>3428</x:v>
      </x:c>
      <x:c r="H7" s="88"/>
      <x:c r="I7" s="82"/>
      <x:c r="J7" s="89" t="n">
        <x:f>COUNTIFS('Recompensas y canjes'!$K$6:$K$200,"Validado")</x:f>
        <x:v>1</x:v>
      </x:c>
      <x:c r="K7" s="88"/>
      <x:c r="L7" s="82"/>
      <x:c r="M7" s="82"/>
      <x:c r="N7" s="82"/>
      <x:c r="O7" s="82"/>
      <x:c r="P7" s="82"/>
    </x:row>
    <x:row r="8" ht="15" hidden="0" customHeight="1">
      <x:c r="A8" s="90"/>
      <x:c r="B8" s="91"/>
      <x:c r="C8" s="82"/>
      <x:c r="D8" s="90"/>
      <x:c r="E8" s="91"/>
      <x:c r="F8" s="82"/>
      <x:c r="G8" s="90"/>
      <x:c r="H8" s="91"/>
      <x:c r="I8" s="82"/>
      <x:c r="J8" s="90"/>
      <x:c r="K8" s="91"/>
      <x:c r="L8" s="82"/>
      <x:c r="M8" s="82"/>
      <x:c r="N8" s="82"/>
      <x:c r="O8" s="82"/>
      <x:c r="P8" s="82"/>
    </x:row>
    <x:row r="9" ht="15" hidden="0" customHeight="1">
      <x:c r="A9" s="82"/>
      <x:c r="B9" s="82"/>
      <x:c r="C9" s="82"/>
      <x:c r="D9" s="82"/>
      <x:c r="E9" s="82"/>
      <x:c r="F9" s="82"/>
      <x:c r="G9" s="82"/>
      <x:c r="H9" s="82"/>
      <x:c r="I9" s="82"/>
      <x:c r="J9" s="82"/>
      <x:c r="K9" s="82"/>
      <x:c r="L9" s="82"/>
      <x:c r="M9" s="82"/>
      <x:c r="N9" s="82"/>
      <x:c r="O9" s="82"/>
      <x:c r="P9" s="82"/>
    </x:row>
    <x:row r="10" ht="15" hidden="0" customHeight="1">
      <x:c r="A10" s="85" t="str">
        <x:v>Ticket promedio</x:v>
      </x:c>
      <x:c r="B10" s="86"/>
      <x:c r="C10" s="82"/>
      <x:c r="D10" s="85" t="str">
        <x:v>Gastos del mes</x:v>
      </x:c>
      <x:c r="E10" s="86"/>
      <x:c r="F10" s="82"/>
      <x:c r="G10" s="85" t="str">
        <x:v>Valor de stock</x:v>
      </x:c>
      <x:c r="H10" s="86"/>
      <x:c r="I10" s="82"/>
      <x:c r="J10" s="85" t="str">
        <x:v>Saldo de caja</x:v>
      </x:c>
      <x:c r="K10" s="86"/>
      <x:c r="L10" s="82"/>
      <x:c r="M10" s="82"/>
      <x:c r="N10" s="82"/>
      <x:c r="O10" s="82"/>
      <x:c r="P10" s="82"/>
    </x:row>
    <x:row r="11" ht="15" hidden="0" customHeight="1">
      <x:c r="A11" s="87" t="n">
        <x:f>IF(COUNTIFS('Ventas'!$J$6:$J$200,"Abonada")=0,"n.a.",A7/COUNTIFS('Ventas'!$J$6:$J$200,"Abonada"))</x:f>
        <x:v>72460</x:v>
      </x:c>
      <x:c r="B11" s="88"/>
      <x:c r="C11" s="82"/>
      <x:c r="D11" s="87" t="n">
        <x:f>SUMIFS('Gastos'!$E$6:$E$200,'Gastos'!$H$6:$H$200,"Pagado")</x:f>
        <x:v>476400</x:v>
      </x:c>
      <x:c r="E11" s="88"/>
      <x:c r="F11" s="82"/>
      <x:c r="G11" s="87" t="n">
        <x:f>SUM('Stock actual'!$J$6:$J$200)</x:f>
        <x:v>636151</x:v>
      </x:c>
      <x:c r="H11" s="88"/>
      <x:c r="I11" s="82"/>
      <x:c r="J11" s="87" t="n">
        <x:f>SUMIFS('Caja'!$E$6:$E$200,'Caja'!$F$6:$F$200,"Ingreso")-SUMIFS('Caja'!$E$6:$E$200,'Caja'!$F$6:$F$200,"Egreso")</x:f>
        <x:v>67400</x:v>
      </x:c>
      <x:c r="K11" s="88"/>
      <x:c r="L11" s="82"/>
      <x:c r="M11" s="82"/>
      <x:c r="N11" s="82"/>
      <x:c r="O11" s="82"/>
      <x:c r="P11" s="82"/>
    </x:row>
    <x:row r="12" ht="15" hidden="0" customHeight="1">
      <x:c r="A12" s="90"/>
      <x:c r="B12" s="91"/>
      <x:c r="C12" s="82"/>
      <x:c r="D12" s="90"/>
      <x:c r="E12" s="91"/>
      <x:c r="F12" s="82"/>
      <x:c r="G12" s="90"/>
      <x:c r="H12" s="91"/>
      <x:c r="I12" s="82"/>
      <x:c r="J12" s="90"/>
      <x:c r="K12" s="91"/>
      <x:c r="L12" s="82"/>
      <x:c r="M12" s="82"/>
      <x:c r="N12" s="82"/>
      <x:c r="O12" s="82"/>
      <x:c r="P12" s="82"/>
    </x:row>
    <x:row r="13" ht="15" hidden="0" customHeight="1">
      <x:c r="A13" s="82"/>
      <x:c r="B13" s="82"/>
      <x:c r="C13" s="82"/>
      <x:c r="D13" s="82"/>
      <x:c r="E13" s="82"/>
      <x:c r="F13" s="82"/>
      <x:c r="G13" s="82"/>
      <x:c r="H13" s="82"/>
      <x:c r="I13" s="82"/>
      <x:c r="J13" s="82"/>
      <x:c r="K13" s="82"/>
      <x:c r="L13" s="82"/>
      <x:c r="M13" s="82"/>
      <x:c r="N13" s="82"/>
      <x:c r="O13" s="82"/>
      <x:c r="P13" s="82"/>
    </x:row>
    <x:row r="14" ht="15" hidden="0" customHeight="1">
      <x:c r="A14" s="82"/>
      <x:c r="B14" s="82"/>
      <x:c r="C14" s="82"/>
      <x:c r="D14" s="82"/>
      <x:c r="E14" s="82"/>
      <x:c r="F14" s="82"/>
      <x:c r="G14" s="82"/>
      <x:c r="H14" s="82"/>
      <x:c r="I14" s="82"/>
      <x:c r="J14" s="82"/>
      <x:c r="K14" s="82"/>
      <x:c r="L14" s="82"/>
      <x:c r="M14" s="82"/>
      <x:c r="N14" s="82"/>
      <x:c r="O14" s="82"/>
      <x:c r="P14" s="82"/>
    </x:row>
    <x:row r="15" ht="15" hidden="0" customHeight="1">
      <x:c r="A15" s="92" t="str">
        <x:v>Ventas por categoría</x:v>
      </x:c>
      <x:c r="B15" s="93"/>
      <x:c r="C15" s="93"/>
      <x:c r="D15" s="93"/>
      <x:c r="E15" s="94"/>
      <x:c r="F15" s="93"/>
      <x:c r="G15" s="93" t="str">
        <x:v>Alertas de stock</x:v>
      </x:c>
      <x:c r="H15" s="93"/>
      <x:c r="I15" s="93"/>
      <x:c r="J15" s="93"/>
      <x:c r="K15" s="94"/>
      <x:c r="L15" s="93"/>
      <x:c r="M15" s="93" t="str">
        <x:v>Club y campañas</x:v>
      </x:c>
      <x:c r="N15" s="93"/>
      <x:c r="O15" s="93"/>
      <x:c r="P15" s="94"/>
    </x:row>
    <x:row r="16" ht="24" hidden="0" customHeight="1">
      <x:c r="A16" s="81" t="str">
        <x:v>Categoría</x:v>
      </x:c>
      <x:c r="B16" s="81" t="str">
        <x:v>Ventas</x:v>
      </x:c>
      <x:c r="C16" s="82"/>
      <x:c r="D16" s="82"/>
      <x:c r="E16" s="82"/>
      <x:c r="F16" s="82"/>
      <x:c r="G16" s="81" t="str">
        <x:v>Insumo</x:v>
      </x:c>
      <x:c r="H16" s="81" t="str">
        <x:v>Stock</x:v>
      </x:c>
      <x:c r="I16" s="81" t="str">
        <x:v>Mínimo</x:v>
      </x:c>
      <x:c r="J16" s="81" t="str">
        <x:v>Estado</x:v>
      </x:c>
      <x:c r="K16" s="82"/>
      <x:c r="L16" s="82"/>
      <x:c r="M16" s="81" t="str">
        <x:v>Campaña</x:v>
      </x:c>
      <x:c r="N16" s="81" t="str">
        <x:v>Escaneos</x:v>
      </x:c>
      <x:c r="O16" s="81" t="str">
        <x:v>Compras</x:v>
      </x:c>
      <x:c r="P16" s="81" t="str">
        <x:v>Conversión</x:v>
      </x:c>
    </x:row>
    <x:row r="17" ht="15" hidden="0" customHeight="1">
      <x:c r="A17" s="20" t="str">
        <x:v>Café</x:v>
      </x:c>
      <x:c r="B17" s="65" t="n">
        <x:f>SUMIFS('Detalle ventas'!$G$6:$G$200,'Detalle ventas'!$C$6:$C$200,"PRD-001")+SUMIFS('Detalle ventas'!$G$6:$G$200,'Detalle ventas'!$C$6:$C$200,"PRD-002")+SUMIFS('Detalle ventas'!$G$6:$G$200,'Detalle ventas'!$C$6:$C$200,"PRD-003")+SUMIFS('Detalle ventas'!$G$6:$G$200,'Detalle ventas'!$C$6:$C$200,"PRD-004")+SUMIFS('Detalle ventas'!$G$6:$G$200,'Detalle ventas'!$C$6:$C$200,"PRD-005")+SUMIFS('Detalle ventas'!$G$6:$G$200,'Detalle ventas'!$C$6:$C$200,"PRD-006")+SUMIFS('Detalle ventas'!$G$6:$G$200,'Detalle ventas'!$C$6:$C$200,"PRD-007")</x:f>
        <x:v>186200</x:v>
      </x:c>
      <x:c r="C17" s="82"/>
      <x:c r="D17" s="82"/>
      <x:c r="E17" s="82"/>
      <x:c r="F17" s="82"/>
      <x:c r="G17" s="20" t="str">
        <x:f>'Stock actual'!B6</x:f>
        <x:v>Café en grano</x:v>
      </x:c>
      <x:c r="H17" s="21" t="n">
        <x:f>'Stock actual'!I6</x:f>
        <x:v>5886</x:v>
      </x:c>
      <x:c r="I17" s="21" t="n">
        <x:f>'Stock actual'!E6</x:f>
        <x:v>5</x:v>
      </x:c>
      <x:c r="J17" s="22" t="str">
        <x:f>'Stock actual'!K6</x:f>
        <x:v>OK</x:v>
      </x:c>
      <x:c r="K17" s="82"/>
      <x:c r="L17" s="82"/>
      <x:c r="M17" s="20" t="str">
        <x:f>'Campañas'!B6</x:f>
        <x:v>Café escondido</x:v>
      </x:c>
      <x:c r="N17" s="21" t="n">
        <x:f>'Campañas'!G6</x:f>
        <x:v>38</x:v>
      </x:c>
      <x:c r="O17" s="21" t="n">
        <x:f>'Campañas'!J6</x:f>
        <x:v>19</x:v>
      </x:c>
      <x:c r="P17" s="45" t="n">
        <x:f>'Campañas'!N6</x:f>
        <x:v>0.5</x:v>
      </x:c>
    </x:row>
    <x:row r="18" ht="15" hidden="0" customHeight="1">
      <x:c r="A18" s="23" t="str">
        <x:v>Infusiones</x:v>
      </x:c>
      <x:c r="B18" s="66" t="n">
        <x:f>SUMIFS('Detalle ventas'!$G$6:$G$200,'Detalle ventas'!$C$6:$C$200,"PRD-008")</x:f>
        <x:v>42400</x:v>
      </x:c>
      <x:c r="C18" s="82"/>
      <x:c r="D18" s="82"/>
      <x:c r="E18" s="82"/>
      <x:c r="F18" s="82"/>
      <x:c r="G18" s="23" t="str">
        <x:f>'Stock actual'!B7</x:f>
        <x:v>Leche entera</x:v>
      </x:c>
      <x:c r="H18" s="24" t="n">
        <x:f>'Stock actual'!I7</x:f>
        <x:v>18360</x:v>
      </x:c>
      <x:c r="I18" s="24" t="n">
        <x:f>'Stock actual'!E7</x:f>
        <x:v>5</x:v>
      </x:c>
      <x:c r="J18" s="25" t="str">
        <x:f>'Stock actual'!K7</x:f>
        <x:v>OK</x:v>
      </x:c>
      <x:c r="K18" s="82"/>
      <x:c r="L18" s="82"/>
      <x:c r="M18" s="23" t="str">
        <x:f>'Campañas'!B7</x:f>
        <x:v>Semana del cappuccino</x:v>
      </x:c>
      <x:c r="N18" s="24" t="n">
        <x:f>'Campañas'!G7</x:f>
        <x:v>62</x:v>
      </x:c>
      <x:c r="O18" s="24" t="n">
        <x:f>'Campañas'!J7</x:f>
        <x:v>7</x:v>
      </x:c>
      <x:c r="P18" s="46" t="n">
        <x:f>'Campañas'!N7</x:f>
        <x:v>0.11290322580645161</x:v>
      </x:c>
    </x:row>
    <x:row r="19" ht="15" hidden="0" customHeight="1">
      <x:c r="A19" s="23" t="str">
        <x:v>Comestibles</x:v>
      </x:c>
      <x:c r="B19" s="66" t="n">
        <x:f>SUMIFS('Detalle ventas'!$G$6:$G$200,'Detalle ventas'!$C$6:$C$200,"PRD-009")+SUMIFS('Detalle ventas'!$G$6:$G$200,'Detalle ventas'!$C$6:$C$200,"PRD-010")+SUMIFS('Detalle ventas'!$G$6:$G$200,'Detalle ventas'!$C$6:$C$200,"PRD-011")</x:f>
        <x:v>114700</x:v>
      </x:c>
      <x:c r="C19" s="82"/>
      <x:c r="D19" s="82"/>
      <x:c r="E19" s="82"/>
      <x:c r="F19" s="82"/>
      <x:c r="G19" s="23" t="str">
        <x:f>'Stock actual'!B8</x:f>
        <x:v>Chocolate</x:v>
      </x:c>
      <x:c r="H19" s="24" t="n">
        <x:f>'Stock actual'!I8</x:f>
        <x:v>925</x:v>
      </x:c>
      <x:c r="I19" s="24" t="n">
        <x:f>'Stock actual'!E8</x:f>
        <x:v>5</x:v>
      </x:c>
      <x:c r="J19" s="25" t="str">
        <x:f>'Stock actual'!K8</x:f>
        <x:v>OK</x:v>
      </x:c>
      <x:c r="K19" s="82"/>
      <x:c r="L19" s="82"/>
      <x:c r="M19" s="26" t="str">
        <x:f>'Campañas'!B8</x:f>
        <x:v>Cumpleaños Ramax</x:v>
      </x:c>
      <x:c r="N19" s="27" t="n">
        <x:f>'Campañas'!G8</x:f>
        <x:v>0</x:v>
      </x:c>
      <x:c r="O19" s="27" t="n">
        <x:f>'Campañas'!J8</x:f>
        <x:v>0</x:v>
      </x:c>
      <x:c r="P19" s="47" t="str">
        <x:f>'Campañas'!N8</x:f>
        <x:v>n.a.</x:v>
      </x:c>
    </x:row>
    <x:row r="20" ht="15" hidden="0" customHeight="1">
      <x:c r="A20" s="26" t="str">
        <x:v>Retail</x:v>
      </x:c>
      <x:c r="B20" s="67" t="n">
        <x:f>SUMIFS('Detalle ventas'!$G$6:$G$200,'Detalle ventas'!$C$6:$C$200,"PRD-012")</x:f>
        <x:v>19000</x:v>
      </x:c>
      <x:c r="C20" s="82"/>
      <x:c r="D20" s="82"/>
      <x:c r="E20" s="82"/>
      <x:c r="F20" s="82"/>
      <x:c r="G20" s="23" t="str">
        <x:f>'Stock actual'!B9</x:f>
        <x:v>Chai especiado</x:v>
      </x:c>
      <x:c r="H20" s="24" t="n">
        <x:f>'Stock actual'!I9</x:f>
        <x:v>756</x:v>
      </x:c>
      <x:c r="I20" s="24" t="n">
        <x:f>'Stock actual'!E9</x:f>
        <x:v>5</x:v>
      </x:c>
      <x:c r="J20" s="25" t="str">
        <x:f>'Stock actual'!K9</x:f>
        <x:v>OK</x:v>
      </x:c>
      <x:c r="K20" s="82"/>
      <x:c r="L20" s="82"/>
      <x:c r="M20" s="82"/>
      <x:c r="N20" s="82"/>
      <x:c r="O20" s="82"/>
      <x:c r="P20" s="82"/>
    </x:row>
    <x:row r="21" ht="15" hidden="0" customHeight="1">
      <x:c r="A21" s="82"/>
      <x:c r="B21" s="82"/>
      <x:c r="C21" s="82"/>
      <x:c r="D21" s="82"/>
      <x:c r="E21" s="82"/>
      <x:c r="F21" s="82"/>
      <x:c r="G21" s="23" t="str">
        <x:f>'Stock actual'!B10</x:f>
        <x:v>Vasos 12 oz</x:v>
      </x:c>
      <x:c r="H21" s="24" t="n">
        <x:f>'Stock actual'!I10</x:f>
        <x:v>267</x:v>
      </x:c>
      <x:c r="I21" s="24" t="n">
        <x:f>'Stock actual'!E10</x:f>
        <x:v>5</x:v>
      </x:c>
      <x:c r="J21" s="25" t="str">
        <x:f>'Stock actual'!K10</x:f>
        <x:v>OK</x:v>
      </x:c>
      <x:c r="K21" s="82"/>
      <x:c r="L21" s="82"/>
      <x:c r="M21" s="82"/>
      <x:c r="N21" s="82"/>
      <x:c r="O21" s="82"/>
      <x:c r="P21" s="82"/>
    </x:row>
    <x:row r="22" ht="15" hidden="0" customHeight="1">
      <x:c r="A22" s="82"/>
      <x:c r="B22" s="82"/>
      <x:c r="C22" s="82"/>
      <x:c r="D22" s="82"/>
      <x:c r="E22" s="82"/>
      <x:c r="F22" s="82"/>
      <x:c r="G22" s="26" t="str">
        <x:f>'Stock actual'!B11</x:f>
        <x:v>Café molido 250 g</x:v>
      </x:c>
      <x:c r="H22" s="27" t="n">
        <x:f>'Stock actual'!I11</x:f>
        <x:v>78</x:v>
      </x:c>
      <x:c r="I22" s="27" t="n">
        <x:f>'Stock actual'!E11</x:f>
        <x:v>5</x:v>
      </x:c>
      <x:c r="J22" s="28" t="str">
        <x:f>'Stock actual'!K11</x:f>
        <x:v>OK</x:v>
      </x:c>
      <x:c r="K22" s="82"/>
      <x:c r="L22" s="82"/>
      <x:c r="M22" s="82"/>
      <x:c r="N22" s="82"/>
      <x:c r="O22" s="82"/>
      <x:c r="P22" s="82"/>
    </x:row>
  </x:sheetData>
  <x:conditionalFormatting sqref="J17:J22">
    <x:cfRule type="containsText" dxfId="6" priority="1" operator="containsText" text="REPOSICIÓN"/>
  </x:conditionalFormatting>
  <x:pageMargins left="0.7" right="0.7" top="0.75" bottom="0.75" header="0.3" footer="0.3"/>
  <x:drawing xmlns:r="http://schemas.openxmlformats.org/officeDocument/2006/relationships" r:id="Rc9119e5de97a4736"/>
</x:worksheet>
</file>

<file path=xl/worksheets/sheet2.xml><?xml version="1.0" encoding="utf-8"?>
<x:worksheet xmlns:x="http://schemas.openxmlformats.org/spreadsheetml/2006/main">
  <x:sheetPr>
    <x:tabColor rgb="FFD7A84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</x:cols>
  <x:sheetData>
    <x:row r="1" ht="12" customHeight="1"/>
    <x:row r="2" ht="15" hidden="0" customHeight="1">
      <x:c r="A2" s="68" t="str">
        <x:v>Parámetros operativos</x:v>
      </x:c>
      <x:c r="B2" s="82"/>
      <x:c r="C2" s="82"/>
      <x:c r="D2" s="82"/>
      <x:c r="E2" s="82"/>
      <x:c r="F2" s="82"/>
    </x:row>
    <x:row r="3" ht="15" hidden="0" customHeight="1">
      <x:c r="A3" s="83"/>
      <x:c r="B3" s="83"/>
      <x:c r="C3" s="83"/>
      <x:c r="D3" s="83"/>
      <x:c r="E3" s="83"/>
      <x:c r="F3" s="83"/>
    </x:row>
    <x:row r="4" ht="15" hidden="0" customHeight="1">
      <x:c r="A4" s="82"/>
      <x:c r="B4" s="82"/>
      <x:c r="C4" s="82"/>
      <x:c r="D4" s="82"/>
      <x:c r="E4" s="82"/>
      <x:c r="F4" s="82"/>
    </x:row>
    <x:row r="5" ht="15" hidden="0" customHeight="1">
      <x:c r="A5" s="81" t="str">
        <x:v>Parámetro</x:v>
      </x:c>
      <x:c r="B5" s="81" t="str">
        <x:v>Valor</x:v>
      </x:c>
      <x:c r="C5" s="81" t="str">
        <x:v>Unidad</x:v>
      </x:c>
      <x:c r="D5" s="81" t="str">
        <x:v>Uso</x:v>
      </x:c>
      <x:c r="E5" s="81" t="str">
        <x:v>Editable</x:v>
      </x:c>
      <x:c r="F5" s="81" t="str">
        <x:v>Nota</x:v>
      </x:c>
    </x:row>
    <x:row r="6" ht="15" hidden="0" customHeight="1">
      <x:c r="A6" s="20" t="str">
        <x:v>Fecha de corte</x:v>
      </x:c>
      <x:c r="B6" s="32" t="n">
        <x:v>46277</x:v>
      </x:c>
      <x:c r="C6" s="21" t="str">
        <x:v>Fecha</x:v>
      </x:c>
      <x:c r="D6" s="21" t="str">
        <x:v>Reportes</x:v>
      </x:c>
      <x:c r="E6" s="21" t="str">
        <x:v>Sí</x:v>
      </x:c>
      <x:c r="F6" s="22" t="str">
        <x:v>Datos de ejemplo al 12/09/2026</x:v>
      </x:c>
    </x:row>
    <x:row r="7" ht="15" hidden="0" customHeight="1">
      <x:c r="A7" s="23" t="str">
        <x:v>Puntos por cada $</x:v>
      </x:c>
      <x:c r="B7" s="33" t="n">
        <x:v>100</x:v>
      </x:c>
      <x:c r="C7" s="24" t="str">
        <x:v>ARS</x:v>
      </x:c>
      <x:c r="D7" s="24" t="str">
        <x:v>Club</x:v>
      </x:c>
      <x:c r="E7" s="24" t="str">
        <x:v>Sí</x:v>
      </x:c>
      <x:c r="F7" s="25" t="str">
        <x:v>La compra acredita puntos redondeados hacia abajo</x:v>
      </x:c>
    </x:row>
    <x:row r="8" ht="15" hidden="0" customHeight="1">
      <x:c r="A8" s="23" t="str">
        <x:v>Tasa IVA</x:v>
      </x:c>
      <x:c r="B8" s="34" t="n">
        <x:v>0.21</x:v>
      </x:c>
      <x:c r="C8" s="24" t="str">
        <x:v>%</x:v>
      </x:c>
      <x:c r="D8" s="24" t="str">
        <x:v>Precios</x:v>
      </x:c>
      <x:c r="E8" s="24" t="str">
        <x:v>Sí</x:v>
      </x:c>
      <x:c r="F8" s="25" t="str">
        <x:v>Incluida en precios de venta</x:v>
      </x:c>
    </x:row>
    <x:row r="9" ht="15" hidden="0" customHeight="1">
      <x:c r="A9" s="23" t="str">
        <x:v>Stock mínimo alerta</x:v>
      </x:c>
      <x:c r="B9" s="33" t="n">
        <x:v>5</x:v>
      </x:c>
      <x:c r="C9" s="24" t="str">
        <x:v>Unidad</x:v>
      </x:c>
      <x:c r="D9" s="24" t="str">
        <x:v>Inventario</x:v>
      </x:c>
      <x:c r="E9" s="24" t="str">
        <x:v>Sí</x:v>
      </x:c>
      <x:c r="F9" s="25" t="str">
        <x:v>Umbral por defecto</x:v>
      </x:c>
    </x:row>
    <x:row r="10" ht="15" hidden="0" customHeight="1">
      <x:c r="A10" s="23" t="str">
        <x:v>Caja inicial</x:v>
      </x:c>
      <x:c r="B10" s="35" t="n">
        <x:v>35000</x:v>
      </x:c>
      <x:c r="C10" s="24" t="str">
        <x:v>ARS</x:v>
      </x:c>
      <x:c r="D10" s="24" t="str">
        <x:v>Caja</x:v>
      </x:c>
      <x:c r="E10" s="24" t="str">
        <x:v>Sí</x:v>
      </x:c>
      <x:c r="F10" s="25" t="str">
        <x:v>Apertura del turno</x:v>
      </x:c>
    </x:row>
    <x:row r="11" ht="15" hidden="0" customHeight="1">
      <x:c r="A11" s="23" t="str">
        <x:v>Vigencia canje</x:v>
      </x:c>
      <x:c r="B11" s="33" t="n">
        <x:v>1</x:v>
      </x:c>
      <x:c r="C11" s="24" t="str">
        <x:v>Días</x:v>
      </x:c>
      <x:c r="D11" s="24" t="str">
        <x:v>Club</x:v>
      </x:c>
      <x:c r="E11" s="24" t="str">
        <x:v>Sí</x:v>
      </x:c>
      <x:c r="F11" s="25" t="str">
        <x:v>Canje vence el mismo día</x:v>
      </x:c>
    </x:row>
    <x:row r="12" ht="15" hidden="0" customHeight="1">
      <x:c r="A12" s="23" t="str">
        <x:v>Moneda</x:v>
      </x:c>
      <x:c r="B12" s="33" t="str">
        <x:v>ARS</x:v>
      </x:c>
      <x:c r="C12" s="24" t="str">
        <x:v>Código</x:v>
      </x:c>
      <x:c r="D12" s="24" t="str">
        <x:v>General</x:v>
      </x:c>
      <x:c r="E12" s="24" t="str">
        <x:v>No</x:v>
      </x:c>
      <x:c r="F12" s="25" t="str">
        <x:v>Pesos argentinos</x:v>
      </x:c>
    </x:row>
    <x:row r="13" ht="15" hidden="0" customHeight="1">
      <x:c r="A13" s="23" t="str">
        <x:v>Nombre del local</x:v>
      </x:c>
      <x:c r="B13" s="24" t="str">
        <x:v>Ramax Café Club</x:v>
      </x:c>
      <x:c r="C13" s="24" t="str">
        <x:v>Texto</x:v>
      </x:c>
      <x:c r="D13" s="24" t="str">
        <x:v>General</x:v>
      </x:c>
      <x:c r="E13" s="24" t="str">
        <x:v>No</x:v>
      </x:c>
      <x:c r="F13" s="25" t="str">
        <x:v>Sucursal principal</x:v>
      </x:c>
    </x:row>
    <x:row r="14" ht="15" hidden="0" customHeight="1">
      <x:c r="A14" s="26" t="str">
        <x:v>Fuente</x:v>
      </x:c>
      <x:c r="B14" s="27" t="str">
        <x:v>Datos mockeados</x:v>
      </x:c>
      <x:c r="C14" s="27" t="str">
        <x:v>Texto</x:v>
      </x:c>
      <x:c r="D14" s="27" t="str">
        <x:v>General</x:v>
      </x:c>
      <x:c r="E14" s="27" t="str">
        <x:v>No</x:v>
      </x:c>
      <x:c r="F14" s="28" t="str">
        <x:v>Modelo operativo</x:v>
      </x:c>
    </x:row>
  </x:sheetData>
  <x:dataValidations count="1">
    <x:dataValidation type="list" sqref="E6:E14">
      <x:formula1>"Sí,No"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22" hidden="0" customWidth="1"/>
  </x:cols>
  <x:sheetData>
    <x:row r="1" ht="12" customHeight="1"/>
    <x:row r="2" ht="15" hidden="0" customHeight="1">
      <x:c r="A2" s="68" t="str">
        <x:v>Catálogo de productos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</x:row>
    <x:row r="5" ht="24" hidden="0" customHeight="1">
      <x:c r="A5" s="81" t="str">
        <x:v>ID</x:v>
      </x:c>
      <x:c r="B5" s="81" t="str">
        <x:v>Producto</x:v>
      </x:c>
      <x:c r="C5" s="81" t="str">
        <x:v>Categoría</x:v>
      </x:c>
      <x:c r="D5" s="81" t="str">
        <x:v>Tipo</x:v>
      </x:c>
      <x:c r="E5" s="81" t="str">
        <x:v>Precio venta</x:v>
      </x:c>
      <x:c r="F5" s="81" t="str">
        <x:v>IVA</x:v>
      </x:c>
      <x:c r="G5" s="81" t="str">
        <x:v>Precio final</x:v>
      </x:c>
      <x:c r="H5" s="81" t="str">
        <x:v>Unidad</x:v>
      </x:c>
      <x:c r="I5" s="81" t="str">
        <x:v>Puntos x ud.</x:v>
      </x:c>
      <x:c r="J5" s="81" t="str">
        <x:v>Acumula puntos</x:v>
      </x:c>
      <x:c r="K5" s="81" t="str">
        <x:v>Estado</x:v>
      </x:c>
      <x:c r="L5" s="81" t="str">
        <x:v>Descripción</x:v>
      </x:c>
    </x:row>
    <x:row r="6" ht="15" hidden="0" customHeight="1">
      <x:c r="A6" s="20" t="str">
        <x:v>PRD-001</x:v>
      </x:c>
      <x:c r="B6" s="21" t="str">
        <x:v>Espresso</x:v>
      </x:c>
      <x:c r="C6" s="21" t="str">
        <x:v>Café</x:v>
      </x:c>
      <x:c r="D6" s="21" t="str">
        <x:v>Venta</x:v>
      </x:c>
      <x:c r="E6" s="36" t="n">
        <x:v>4500</x:v>
      </x:c>
      <x:c r="F6" s="38" t="n">
        <x:v>0.21</x:v>
      </x:c>
      <x:c r="G6" s="36" t="n">
        <x:v>4500</x:v>
      </x:c>
      <x:c r="H6" s="21" t="str">
        <x:v>Taza</x:v>
      </x:c>
      <x:c r="I6" s="21" t="n">
        <x:v>1</x:v>
      </x:c>
      <x:c r="J6" s="21" t="str">
        <x:v>Sí</x:v>
      </x:c>
      <x:c r="K6" s="21" t="str">
        <x:v>Activo</x:v>
      </x:c>
      <x:c r="L6" s="22" t="str">
        <x:v>Clásico intenso</x:v>
      </x:c>
    </x:row>
    <x:row r="7" ht="15" hidden="0" customHeight="1">
      <x:c r="A7" s="23" t="str">
        <x:v>PRD-002</x:v>
      </x:c>
      <x:c r="B7" s="24" t="str">
        <x:v>Americano</x:v>
      </x:c>
      <x:c r="C7" s="24" t="str">
        <x:v>Café</x:v>
      </x:c>
      <x:c r="D7" s="24" t="str">
        <x:v>Venta</x:v>
      </x:c>
      <x:c r="E7" s="31" t="n">
        <x:v>4800</x:v>
      </x:c>
      <x:c r="F7" s="30" t="n">
        <x:v>0.21</x:v>
      </x:c>
      <x:c r="G7" s="31" t="n">
        <x:v>4800</x:v>
      </x:c>
      <x:c r="H7" s="24" t="str">
        <x:v>Taza</x:v>
      </x:c>
      <x:c r="I7" s="24" t="n">
        <x:v>1</x:v>
      </x:c>
      <x:c r="J7" s="24" t="str">
        <x:v>Sí</x:v>
      </x:c>
      <x:c r="K7" s="24" t="str">
        <x:v>Activo</x:v>
      </x:c>
      <x:c r="L7" s="25" t="str">
        <x:v>Espresso con agua</x:v>
      </x:c>
    </x:row>
    <x:row r="8" ht="15" hidden="0" customHeight="1">
      <x:c r="A8" s="23" t="str">
        <x:v>PRD-003</x:v>
      </x:c>
      <x:c r="B8" s="24" t="str">
        <x:v>Cortado</x:v>
      </x:c>
      <x:c r="C8" s="24" t="str">
        <x:v>Café</x:v>
      </x:c>
      <x:c r="D8" s="24" t="str">
        <x:v>Venta</x:v>
      </x:c>
      <x:c r="E8" s="31" t="n">
        <x:v>4800</x:v>
      </x:c>
      <x:c r="F8" s="30" t="n">
        <x:v>0.21</x:v>
      </x:c>
      <x:c r="G8" s="31" t="n">
        <x:v>4800</x:v>
      </x:c>
      <x:c r="H8" s="24" t="str">
        <x:v>Taza</x:v>
      </x:c>
      <x:c r="I8" s="24" t="n">
        <x:v>1</x:v>
      </x:c>
      <x:c r="J8" s="24" t="str">
        <x:v>Sí</x:v>
      </x:c>
      <x:c r="K8" s="24" t="str">
        <x:v>Activo</x:v>
      </x:c>
      <x:c r="L8" s="25" t="str">
        <x:v>Con leche vaporizada</x:v>
      </x:c>
    </x:row>
    <x:row r="9" ht="15" hidden="0" customHeight="1">
      <x:c r="A9" s="23" t="str">
        <x:v>PRD-004</x:v>
      </x:c>
      <x:c r="B9" s="24" t="str">
        <x:v>Cappuccino</x:v>
      </x:c>
      <x:c r="C9" s="24" t="str">
        <x:v>Café</x:v>
      </x:c>
      <x:c r="D9" s="24" t="str">
        <x:v>Venta</x:v>
      </x:c>
      <x:c r="E9" s="31" t="n">
        <x:v>5200</x:v>
      </x:c>
      <x:c r="F9" s="30" t="n">
        <x:v>0.21</x:v>
      </x:c>
      <x:c r="G9" s="31" t="n">
        <x:v>5200</x:v>
      </x:c>
      <x:c r="H9" s="24" t="str">
        <x:v>Taza</x:v>
      </x:c>
      <x:c r="I9" s="24" t="n">
        <x:v>1</x:v>
      </x:c>
      <x:c r="J9" s="24" t="str">
        <x:v>Sí</x:v>
      </x:c>
      <x:c r="K9" s="24" t="str">
        <x:v>Activo</x:v>
      </x:c>
      <x:c r="L9" s="25" t="str">
        <x:v>Espresso, leche y espuma</x:v>
      </x:c>
    </x:row>
    <x:row r="10" ht="15" hidden="0" customHeight="1">
      <x:c r="A10" s="23" t="str">
        <x:v>PRD-005</x:v>
      </x:c>
      <x:c r="B10" s="24" t="str">
        <x:v>Latte</x:v>
      </x:c>
      <x:c r="C10" s="24" t="str">
        <x:v>Café</x:v>
      </x:c>
      <x:c r="D10" s="24" t="str">
        <x:v>Venta</x:v>
      </x:c>
      <x:c r="E10" s="31" t="n">
        <x:v>5200</x:v>
      </x:c>
      <x:c r="F10" s="30" t="n">
        <x:v>0.21</x:v>
      </x:c>
      <x:c r="G10" s="31" t="n">
        <x:v>5200</x:v>
      </x:c>
      <x:c r="H10" s="24" t="str">
        <x:v>Taza</x:v>
      </x:c>
      <x:c r="I10" s="24" t="n">
        <x:v>1</x:v>
      </x:c>
      <x:c r="J10" s="24" t="str">
        <x:v>Sí</x:v>
      </x:c>
      <x:c r="K10" s="24" t="str">
        <x:v>Activo</x:v>
      </x:c>
      <x:c r="L10" s="25" t="str">
        <x:v>Suave y cremoso</x:v>
      </x:c>
    </x:row>
    <x:row r="11" ht="15" hidden="0" customHeight="1">
      <x:c r="A11" s="23" t="str">
        <x:v>PRD-006</x:v>
      </x:c>
      <x:c r="B11" s="24" t="str">
        <x:v>Flat White</x:v>
      </x:c>
      <x:c r="C11" s="24" t="str">
        <x:v>Café</x:v>
      </x:c>
      <x:c r="D11" s="24" t="str">
        <x:v>Venta</x:v>
      </x:c>
      <x:c r="E11" s="31" t="n">
        <x:v>5400</x:v>
      </x:c>
      <x:c r="F11" s="30" t="n">
        <x:v>0.21</x:v>
      </x:c>
      <x:c r="G11" s="31" t="n">
        <x:v>5400</x:v>
      </x:c>
      <x:c r="H11" s="24" t="str">
        <x:v>Taza</x:v>
      </x:c>
      <x:c r="I11" s="24" t="n">
        <x:v>1</x:v>
      </x:c>
      <x:c r="J11" s="24" t="str">
        <x:v>Sí</x:v>
      </x:c>
      <x:c r="K11" s="24" t="str">
        <x:v>Activo</x:v>
      </x:c>
      <x:c r="L11" s="25" t="str">
        <x:v>Doble espresso</x:v>
      </x:c>
    </x:row>
    <x:row r="12" ht="15" hidden="0" customHeight="1">
      <x:c r="A12" s="23" t="str">
        <x:v>PRD-007</x:v>
      </x:c>
      <x:c r="B12" s="24" t="str">
        <x:v>Mocha</x:v>
      </x:c>
      <x:c r="C12" s="24" t="str">
        <x:v>Café</x:v>
      </x:c>
      <x:c r="D12" s="24" t="str">
        <x:v>Venta</x:v>
      </x:c>
      <x:c r="E12" s="31" t="n">
        <x:v>5500</x:v>
      </x:c>
      <x:c r="F12" s="30" t="n">
        <x:v>0.21</x:v>
      </x:c>
      <x:c r="G12" s="31" t="n">
        <x:v>5500</x:v>
      </x:c>
      <x:c r="H12" s="24" t="str">
        <x:v>Taza</x:v>
      </x:c>
      <x:c r="I12" s="24" t="n">
        <x:v>1</x:v>
      </x:c>
      <x:c r="J12" s="24" t="str">
        <x:v>Sí</x:v>
      </x:c>
      <x:c r="K12" s="24" t="str">
        <x:v>Activo</x:v>
      </x:c>
      <x:c r="L12" s="25" t="str">
        <x:v>Chocolate y café</x:v>
      </x:c>
    </x:row>
    <x:row r="13" ht="15" hidden="0" customHeight="1">
      <x:c r="A13" s="23" t="str">
        <x:v>PRD-008</x:v>
      </x:c>
      <x:c r="B13" s="24" t="str">
        <x:v>Chai Latte</x:v>
      </x:c>
      <x:c r="C13" s="24" t="str">
        <x:v>Infusiones</x:v>
      </x:c>
      <x:c r="D13" s="24" t="str">
        <x:v>Venta</x:v>
      </x:c>
      <x:c r="E13" s="31" t="n">
        <x:v>5300</x:v>
      </x:c>
      <x:c r="F13" s="30" t="n">
        <x:v>0.21</x:v>
      </x:c>
      <x:c r="G13" s="31" t="n">
        <x:v>5300</x:v>
      </x:c>
      <x:c r="H13" s="24" t="str">
        <x:v>Taza</x:v>
      </x:c>
      <x:c r="I13" s="24" t="n">
        <x:v>1</x:v>
      </x:c>
      <x:c r="J13" s="24" t="str">
        <x:v>Sí</x:v>
      </x:c>
      <x:c r="K13" s="24" t="str">
        <x:v>Activo</x:v>
      </x:c>
      <x:c r="L13" s="25" t="str">
        <x:v>Especiado</x:v>
      </x:c>
    </x:row>
    <x:row r="14" ht="15" hidden="0" customHeight="1">
      <x:c r="A14" s="23" t="str">
        <x:v>PRD-009</x:v>
      </x:c>
      <x:c r="B14" s="24" t="str">
        <x:v>Chipa</x:v>
      </x:c>
      <x:c r="C14" s="24" t="str">
        <x:v>Comestibles</x:v>
      </x:c>
      <x:c r="D14" s="24" t="str">
        <x:v>Venta</x:v>
      </x:c>
      <x:c r="E14" s="31" t="n">
        <x:v>4800</x:v>
      </x:c>
      <x:c r="F14" s="30" t="n">
        <x:v>0.21</x:v>
      </x:c>
      <x:c r="G14" s="31" t="n">
        <x:v>4800</x:v>
      </x:c>
      <x:c r="H14" s="24" t="str">
        <x:v>Unidad</x:v>
      </x:c>
      <x:c r="I14" s="24" t="n">
        <x:v>1</x:v>
      </x:c>
      <x:c r="J14" s="24" t="str">
        <x:v>Sí</x:v>
      </x:c>
      <x:c r="K14" s="24" t="str">
        <x:v>Activo</x:v>
      </x:c>
      <x:c r="L14" s="25" t="str">
        <x:v>Horneado del día</x:v>
      </x:c>
    </x:row>
    <x:row r="15" ht="15" hidden="0" customHeight="1">
      <x:c r="A15" s="23" t="str">
        <x:v>PRD-010</x:v>
      </x:c>
      <x:c r="B15" s="24" t="str">
        <x:v>Medialuna</x:v>
      </x:c>
      <x:c r="C15" s="24" t="str">
        <x:v>Comestibles</x:v>
      </x:c>
      <x:c r="D15" s="24" t="str">
        <x:v>Venta</x:v>
      </x:c>
      <x:c r="E15" s="31" t="n">
        <x:v>4500</x:v>
      </x:c>
      <x:c r="F15" s="30" t="n">
        <x:v>0.21</x:v>
      </x:c>
      <x:c r="G15" s="31" t="n">
        <x:v>4500</x:v>
      </x:c>
      <x:c r="H15" s="24" t="str">
        <x:v>Unidad</x:v>
      </x:c>
      <x:c r="I15" s="24" t="n">
        <x:v>1</x:v>
      </x:c>
      <x:c r="J15" s="24" t="str">
        <x:v>Sí</x:v>
      </x:c>
      <x:c r="K15" s="24" t="str">
        <x:v>Activo</x:v>
      </x:c>
      <x:c r="L15" s="25" t="str">
        <x:v>Manteca</x:v>
      </x:c>
    </x:row>
    <x:row r="16" ht="15" hidden="0" customHeight="1">
      <x:c r="A16" s="23" t="str">
        <x:v>PRD-011</x:v>
      </x:c>
      <x:c r="B16" s="24" t="str">
        <x:v>Cookie</x:v>
      </x:c>
      <x:c r="C16" s="24" t="str">
        <x:v>Comestibles</x:v>
      </x:c>
      <x:c r="D16" s="24" t="str">
        <x:v>Venta</x:v>
      </x:c>
      <x:c r="E16" s="31" t="n">
        <x:v>5000</x:v>
      </x:c>
      <x:c r="F16" s="30" t="n">
        <x:v>0.21</x:v>
      </x:c>
      <x:c r="G16" s="31" t="n">
        <x:v>5000</x:v>
      </x:c>
      <x:c r="H16" s="24" t="str">
        <x:v>Unidad</x:v>
      </x:c>
      <x:c r="I16" s="24" t="n">
        <x:v>1</x:v>
      </x:c>
      <x:c r="J16" s="24" t="str">
        <x:v>Sí</x:v>
      </x:c>
      <x:c r="K16" s="24" t="str">
        <x:v>Activo</x:v>
      </x:c>
      <x:c r="L16" s="25" t="str">
        <x:v>Chocolate</x:v>
      </x:c>
    </x:row>
    <x:row r="17" ht="15" hidden="0" customHeight="1">
      <x:c r="A17" s="23" t="str">
        <x:v>PRD-012</x:v>
      </x:c>
      <x:c r="B17" s="24" t="str">
        <x:v>Café molido 250 g</x:v>
      </x:c>
      <x:c r="C17" s="24" t="str">
        <x:v>Retail</x:v>
      </x:c>
      <x:c r="D17" s="24" t="str">
        <x:v>Venta</x:v>
      </x:c>
      <x:c r="E17" s="31" t="n">
        <x:v>9500</x:v>
      </x:c>
      <x:c r="F17" s="30" t="n">
        <x:v>0.21</x:v>
      </x:c>
      <x:c r="G17" s="31" t="n">
        <x:v>9500</x:v>
      </x:c>
      <x:c r="H17" s="24" t="str">
        <x:v>Bolsa</x:v>
      </x:c>
      <x:c r="I17" s="24" t="n">
        <x:v>1</x:v>
      </x:c>
      <x:c r="J17" s="24" t="str">
        <x:v>Sí</x:v>
      </x:c>
      <x:c r="K17" s="24" t="str">
        <x:v>Activo</x:v>
      </x:c>
      <x:c r="L17" s="25" t="str">
        <x:v>Blend Ramax</x:v>
      </x:c>
    </x:row>
    <x:row r="18" ht="15" hidden="0" customHeight="1">
      <x:c r="A18" s="23" t="str">
        <x:v>INS-001</x:v>
      </x:c>
      <x:c r="B18" s="24" t="str">
        <x:v>Café en grano</x:v>
      </x:c>
      <x:c r="C18" s="24" t="str">
        <x:v>Insumo</x:v>
      </x:c>
      <x:c r="D18" s="24" t="str">
        <x:v>Insumo</x:v>
      </x:c>
      <x:c r="E18" s="31" t="n">
        <x:v>0</x:v>
      </x:c>
      <x:c r="F18" s="30" t="n">
        <x:v>0</x:v>
      </x:c>
      <x:c r="G18" s="31" t="n">
        <x:v>0</x:v>
      </x:c>
      <x:c r="H18" s="24" t="str">
        <x:v>g</x:v>
      </x:c>
      <x:c r="I18" s="24" t="n">
        <x:v>0</x:v>
      </x:c>
      <x:c r="J18" s="24" t="str">
        <x:v>No</x:v>
      </x:c>
      <x:c r="K18" s="24" t="str">
        <x:v>Activo</x:v>
      </x:c>
      <x:c r="L18" s="25" t="str">
        <x:v>Para bebidas</x:v>
      </x:c>
    </x:row>
    <x:row r="19" ht="15" hidden="0" customHeight="1">
      <x:c r="A19" s="23" t="str">
        <x:v>INS-002</x:v>
      </x:c>
      <x:c r="B19" s="24" t="str">
        <x:v>Leche entera</x:v>
      </x:c>
      <x:c r="C19" s="24" t="str">
        <x:v>Insumo</x:v>
      </x:c>
      <x:c r="D19" s="24" t="str">
        <x:v>Insumo</x:v>
      </x:c>
      <x:c r="E19" s="31" t="n">
        <x:v>0</x:v>
      </x:c>
      <x:c r="F19" s="30" t="n">
        <x:v>0</x:v>
      </x:c>
      <x:c r="G19" s="31" t="n">
        <x:v>0</x:v>
      </x:c>
      <x:c r="H19" s="24" t="str">
        <x:v>ml</x:v>
      </x:c>
      <x:c r="I19" s="24" t="n">
        <x:v>0</x:v>
      </x:c>
      <x:c r="J19" s="24" t="str">
        <x:v>No</x:v>
      </x:c>
      <x:c r="K19" s="24" t="str">
        <x:v>Activo</x:v>
      </x:c>
      <x:c r="L19" s="25" t="str">
        <x:v>Lácteo</x:v>
      </x:c>
    </x:row>
    <x:row r="20" ht="15" hidden="0" customHeight="1">
      <x:c r="A20" s="23" t="str">
        <x:v>INS-003</x:v>
      </x:c>
      <x:c r="B20" s="24" t="str">
        <x:v>Chocolate</x:v>
      </x:c>
      <x:c r="C20" s="24" t="str">
        <x:v>Insumo</x:v>
      </x:c>
      <x:c r="D20" s="24" t="str">
        <x:v>Insumo</x:v>
      </x:c>
      <x:c r="E20" s="31" t="n">
        <x:v>0</x:v>
      </x:c>
      <x:c r="F20" s="30" t="n">
        <x:v>0</x:v>
      </x:c>
      <x:c r="G20" s="31" t="n">
        <x:v>0</x:v>
      </x:c>
      <x:c r="H20" s="24" t="str">
        <x:v>g</x:v>
      </x:c>
      <x:c r="I20" s="24" t="n">
        <x:v>0</x:v>
      </x:c>
      <x:c r="J20" s="24" t="str">
        <x:v>No</x:v>
      </x:c>
      <x:c r="K20" s="24" t="str">
        <x:v>Activo</x:v>
      </x:c>
      <x:c r="L20" s="25" t="str">
        <x:v>Salsas</x:v>
      </x:c>
    </x:row>
    <x:row r="21" ht="15" hidden="0" customHeight="1">
      <x:c r="A21" s="23" t="str">
        <x:v>INS-004</x:v>
      </x:c>
      <x:c r="B21" s="24" t="str">
        <x:v>Chai especiado</x:v>
      </x:c>
      <x:c r="C21" s="24" t="str">
        <x:v>Insumo</x:v>
      </x:c>
      <x:c r="D21" s="24" t="str">
        <x:v>Insumo</x:v>
      </x:c>
      <x:c r="E21" s="31" t="n">
        <x:v>0</x:v>
      </x:c>
      <x:c r="F21" s="30" t="n">
        <x:v>0</x:v>
      </x:c>
      <x:c r="G21" s="31" t="n">
        <x:v>0</x:v>
      </x:c>
      <x:c r="H21" s="24" t="str">
        <x:v>g</x:v>
      </x:c>
      <x:c r="I21" s="24" t="n">
        <x:v>0</x:v>
      </x:c>
      <x:c r="J21" s="24" t="str">
        <x:v>No</x:v>
      </x:c>
      <x:c r="K21" s="24" t="str">
        <x:v>Activo</x:v>
      </x:c>
      <x:c r="L21" s="25" t="str">
        <x:v>Polvo chai</x:v>
      </x:c>
    </x:row>
    <x:row r="22" ht="15" hidden="0" customHeight="1">
      <x:c r="A22" s="23" t="str">
        <x:v>INS-005</x:v>
      </x:c>
      <x:c r="B22" s="24" t="str">
        <x:v>Vasos 12 oz</x:v>
      </x:c>
      <x:c r="C22" s="24" t="str">
        <x:v>Insumo</x:v>
      </x:c>
      <x:c r="D22" s="24" t="str">
        <x:v>Insumo</x:v>
      </x:c>
      <x:c r="E22" s="31" t="n">
        <x:v>0</x:v>
      </x:c>
      <x:c r="F22" s="30" t="n">
        <x:v>0</x:v>
      </x:c>
      <x:c r="G22" s="31" t="n">
        <x:v>0</x:v>
      </x:c>
      <x:c r="H22" s="24" t="str">
        <x:v>Unidad</x:v>
      </x:c>
      <x:c r="I22" s="24" t="n">
        <x:v>0</x:v>
      </x:c>
      <x:c r="J22" s="24" t="str">
        <x:v>No</x:v>
      </x:c>
      <x:c r="K22" s="24" t="str">
        <x:v>Activo</x:v>
      </x:c>
      <x:c r="L22" s="25" t="str">
        <x:v>Descartables</x:v>
      </x:c>
    </x:row>
    <x:row r="23" ht="15" hidden="0" customHeight="1">
      <x:c r="A23" s="26" t="str">
        <x:v>INS-006</x:v>
      </x:c>
      <x:c r="B23" s="27" t="str">
        <x:v>Café molido 250 g</x:v>
      </x:c>
      <x:c r="C23" s="27" t="str">
        <x:v>Insumo</x:v>
      </x:c>
      <x:c r="D23" s="27" t="str">
        <x:v>Insumo</x:v>
      </x:c>
      <x:c r="E23" s="37" t="n">
        <x:v>0</x:v>
      </x:c>
      <x:c r="F23" s="39" t="n">
        <x:v>0</x:v>
      </x:c>
      <x:c r="G23" s="37" t="n">
        <x:v>0</x:v>
      </x:c>
      <x:c r="H23" s="27" t="str">
        <x:v>Bolsa</x:v>
      </x:c>
      <x:c r="I23" s="27" t="n">
        <x:v>0</x:v>
      </x:c>
      <x:c r="J23" s="27" t="str">
        <x:v>No</x:v>
      </x:c>
      <x:c r="K23" s="27" t="str">
        <x:v>Activo</x:v>
      </x:c>
      <x:c r="L23" s="28" t="str">
        <x:v>Retail</x:v>
      </x:c>
    </x:row>
  </x:sheetData>
  <x:dataValidations count="3">
    <x:dataValidation type="list" sqref="C6:C100">
      <x:formula1>"Café,Infusiones,Comestibles,Retail,Insumo"</x:formula1>
    </x:dataValidation>
    <x:dataValidation type="list" sqref="J6:J100">
      <x:formula1>"Sí,No"</x:formula1>
    </x:dataValidation>
    <x:dataValidation type="list" sqref="K6:K100">
      <x:formula1>"Activo,Pausado,Discontinuado"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a21d63eb1748e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22" hidden="0" customWidth="1"/>
    <x:col min="5" max="5" width="12" hidden="0" customWidth="1"/>
    <x:col min="6" max="6" width="14" hidden="0" customWidth="1"/>
    <x:col min="7" max="7" width="16" hidden="0" customWidth="1"/>
    <x:col min="8" max="8" width="24" hidden="0" customWidth="1"/>
  </x:cols>
  <x:sheetData>
    <x:row r="1" ht="12" customHeight="1"/>
    <x:row r="2" ht="15" hidden="0" customHeight="1">
      <x:c r="A2" s="68" t="str">
        <x:v>Recetas e insumos</x:v>
      </x:c>
      <x:c r="B2" s="82"/>
      <x:c r="C2" s="82"/>
      <x:c r="D2" s="82"/>
      <x:c r="E2" s="82"/>
      <x:c r="F2" s="82"/>
      <x:c r="G2" s="82"/>
      <x:c r="H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</x:row>
    <x:row r="5" ht="15" hidden="0" customHeight="1">
      <x:c r="A5" s="81" t="str">
        <x:v>ID receta</x:v>
      </x:c>
      <x:c r="B5" s="81" t="str">
        <x:v>ID producto</x:v>
      </x:c>
      <x:c r="C5" s="81" t="str">
        <x:v>Producto</x:v>
      </x:c>
      <x:c r="D5" s="81" t="str">
        <x:v>ID insumo</x:v>
      </x:c>
      <x:c r="E5" s="81" t="str">
        <x:v>Insumo</x:v>
      </x:c>
      <x:c r="F5" s="81" t="str">
        <x:v>Cantidad</x:v>
      </x:c>
      <x:c r="G5" s="81" t="str">
        <x:v>Unidad</x:v>
      </x:c>
      <x:c r="H5" s="81" t="str">
        <x:v>Nota</x:v>
      </x:c>
    </x:row>
    <x:row r="6" ht="15" hidden="0" customHeight="1">
      <x:c r="A6" s="20" t="str">
        <x:v>REC-001</x:v>
      </x:c>
      <x:c r="B6" s="21" t="str">
        <x:v>PRD-001</x:v>
      </x:c>
      <x:c r="C6" s="21" t="str">
        <x:v>Espresso</x:v>
      </x:c>
      <x:c r="D6" s="21" t="str">
        <x:v>INS-001</x:v>
      </x:c>
      <x:c r="E6" s="21" t="str">
        <x:v>Café en grano</x:v>
      </x:c>
      <x:c r="F6" s="21" t="n">
        <x:v>18</x:v>
      </x:c>
      <x:c r="G6" s="21" t="str">
        <x:v>g</x:v>
      </x:c>
      <x:c r="H6" s="22" t="str">
        <x:v>Doble shot</x:v>
      </x:c>
    </x:row>
    <x:row r="7" ht="15" hidden="0" customHeight="1">
      <x:c r="A7" s="23" t="str">
        <x:v>REC-002</x:v>
      </x:c>
      <x:c r="B7" s="24" t="str">
        <x:v>PRD-002</x:v>
      </x:c>
      <x:c r="C7" s="24" t="str">
        <x:v>Americano</x:v>
      </x:c>
      <x:c r="D7" s="24" t="str">
        <x:v>INS-001</x:v>
      </x:c>
      <x:c r="E7" s="24" t="str">
        <x:v>Café en grano</x:v>
      </x:c>
      <x:c r="F7" s="24" t="n">
        <x:v>18</x:v>
      </x:c>
      <x:c r="G7" s="24" t="str">
        <x:v>g</x:v>
      </x:c>
      <x:c r="H7" s="25" t="str">
        <x:v>Doble shot</x:v>
      </x:c>
    </x:row>
    <x:row r="8" ht="15" hidden="0" customHeight="1">
      <x:c r="A8" s="23" t="str">
        <x:v>REC-003</x:v>
      </x:c>
      <x:c r="B8" s="24" t="str">
        <x:v>PRD-003</x:v>
      </x:c>
      <x:c r="C8" s="24" t="str">
        <x:v>Cortado</x:v>
      </x:c>
      <x:c r="D8" s="24" t="str">
        <x:v>INS-001</x:v>
      </x:c>
      <x:c r="E8" s="24" t="str">
        <x:v>Café en grano</x:v>
      </x:c>
      <x:c r="F8" s="24" t="n">
        <x:v>18</x:v>
      </x:c>
      <x:c r="G8" s="24" t="str">
        <x:v>g</x:v>
      </x:c>
      <x:c r="H8" s="25" t="str">
        <x:v>Doble shot</x:v>
      </x:c>
    </x:row>
    <x:row r="9" ht="15" hidden="0" customHeight="1">
      <x:c r="A9" s="23" t="str">
        <x:v>REC-004</x:v>
      </x:c>
      <x:c r="B9" s="24" t="str">
        <x:v>PRD-003</x:v>
      </x:c>
      <x:c r="C9" s="24" t="str">
        <x:v>Cortado</x:v>
      </x:c>
      <x:c r="D9" s="24" t="str">
        <x:v>INS-002</x:v>
      </x:c>
      <x:c r="E9" s="24" t="str">
        <x:v>Leche entera</x:v>
      </x:c>
      <x:c r="F9" s="24" t="n">
        <x:v>90</x:v>
      </x:c>
      <x:c r="G9" s="24" t="str">
        <x:v>ml</x:v>
      </x:c>
      <x:c r="H9" s="25" t="str">
        <x:v>Leche vaporizada</x:v>
      </x:c>
    </x:row>
    <x:row r="10" ht="15" hidden="0" customHeight="1">
      <x:c r="A10" s="23" t="str">
        <x:v>REC-005</x:v>
      </x:c>
      <x:c r="B10" s="24" t="str">
        <x:v>PRD-004</x:v>
      </x:c>
      <x:c r="C10" s="24" t="str">
        <x:v>Cappuccino</x:v>
      </x:c>
      <x:c r="D10" s="24" t="str">
        <x:v>INS-001</x:v>
      </x:c>
      <x:c r="E10" s="24" t="str">
        <x:v>Café en grano</x:v>
      </x:c>
      <x:c r="F10" s="24" t="n">
        <x:v>18</x:v>
      </x:c>
      <x:c r="G10" s="24" t="str">
        <x:v>g</x:v>
      </x:c>
      <x:c r="H10" s="25" t="str">
        <x:v>Doble shot</x:v>
      </x:c>
    </x:row>
    <x:row r="11" ht="15" hidden="0" customHeight="1">
      <x:c r="A11" s="23" t="str">
        <x:v>REC-006</x:v>
      </x:c>
      <x:c r="B11" s="24" t="str">
        <x:v>PRD-004</x:v>
      </x:c>
      <x:c r="C11" s="24" t="str">
        <x:v>Cappuccino</x:v>
      </x:c>
      <x:c r="D11" s="24" t="str">
        <x:v>INS-002</x:v>
      </x:c>
      <x:c r="E11" s="24" t="str">
        <x:v>Leche entera</x:v>
      </x:c>
      <x:c r="F11" s="24" t="n">
        <x:v>180</x:v>
      </x:c>
      <x:c r="G11" s="24" t="str">
        <x:v>ml</x:v>
      </x:c>
      <x:c r="H11" s="25" t="str">
        <x:v>Leche y espuma</x:v>
      </x:c>
    </x:row>
    <x:row r="12" ht="15" hidden="0" customHeight="1">
      <x:c r="A12" s="23" t="str">
        <x:v>REC-007</x:v>
      </x:c>
      <x:c r="B12" s="24" t="str">
        <x:v>PRD-005</x:v>
      </x:c>
      <x:c r="C12" s="24" t="str">
        <x:v>Latte</x:v>
      </x:c>
      <x:c r="D12" s="24" t="str">
        <x:v>INS-001</x:v>
      </x:c>
      <x:c r="E12" s="24" t="str">
        <x:v>Café en grano</x:v>
      </x:c>
      <x:c r="F12" s="24" t="n">
        <x:v>18</x:v>
      </x:c>
      <x:c r="G12" s="24" t="str">
        <x:v>g</x:v>
      </x:c>
      <x:c r="H12" s="25" t="str">
        <x:v>Doble shot</x:v>
      </x:c>
    </x:row>
    <x:row r="13" ht="15" hidden="0" customHeight="1">
      <x:c r="A13" s="23" t="str">
        <x:v>REC-008</x:v>
      </x:c>
      <x:c r="B13" s="24" t="str">
        <x:v>PRD-005</x:v>
      </x:c>
      <x:c r="C13" s="24" t="str">
        <x:v>Latte</x:v>
      </x:c>
      <x:c r="D13" s="24" t="str">
        <x:v>INS-002</x:v>
      </x:c>
      <x:c r="E13" s="24" t="str">
        <x:v>Leche entera</x:v>
      </x:c>
      <x:c r="F13" s="24" t="n">
        <x:v>240</x:v>
      </x:c>
      <x:c r="G13" s="24" t="str">
        <x:v>ml</x:v>
      </x:c>
      <x:c r="H13" s="25" t="str">
        <x:v>Leche vaporizada</x:v>
      </x:c>
    </x:row>
    <x:row r="14" ht="15" hidden="0" customHeight="1">
      <x:c r="A14" s="23" t="str">
        <x:v>REC-009</x:v>
      </x:c>
      <x:c r="B14" s="24" t="str">
        <x:v>PRD-006</x:v>
      </x:c>
      <x:c r="C14" s="24" t="str">
        <x:v>Flat White</x:v>
      </x:c>
      <x:c r="D14" s="24" t="str">
        <x:v>INS-001</x:v>
      </x:c>
      <x:c r="E14" s="24" t="str">
        <x:v>Café en grano</x:v>
      </x:c>
      <x:c r="F14" s="24" t="n">
        <x:v>36</x:v>
      </x:c>
      <x:c r="G14" s="24" t="str">
        <x:v>g</x:v>
      </x:c>
      <x:c r="H14" s="25" t="str">
        <x:v>Doble extracción</x:v>
      </x:c>
    </x:row>
    <x:row r="15" ht="15" hidden="0" customHeight="1">
      <x:c r="A15" s="23" t="str">
        <x:v>REC-010</x:v>
      </x:c>
      <x:c r="B15" s="24" t="str">
        <x:v>PRD-006</x:v>
      </x:c>
      <x:c r="C15" s="24" t="str">
        <x:v>Flat White</x:v>
      </x:c>
      <x:c r="D15" s="24" t="str">
        <x:v>INS-002</x:v>
      </x:c>
      <x:c r="E15" s="24" t="str">
        <x:v>Leche entera</x:v>
      </x:c>
      <x:c r="F15" s="24" t="n">
        <x:v>180</x:v>
      </x:c>
      <x:c r="G15" s="24" t="str">
        <x:v>ml</x:v>
      </x:c>
      <x:c r="H15" s="25" t="str">
        <x:v>Microespuma</x:v>
      </x:c>
    </x:row>
    <x:row r="16" ht="15" hidden="0" customHeight="1">
      <x:c r="A16" s="23" t="str">
        <x:v>REC-011</x:v>
      </x:c>
      <x:c r="B16" s="24" t="str">
        <x:v>PRD-007</x:v>
      </x:c>
      <x:c r="C16" s="24" t="str">
        <x:v>Mocha</x:v>
      </x:c>
      <x:c r="D16" s="24" t="str">
        <x:v>INS-001</x:v>
      </x:c>
      <x:c r="E16" s="24" t="str">
        <x:v>Café en grano</x:v>
      </x:c>
      <x:c r="F16" s="24" t="n">
        <x:v>18</x:v>
      </x:c>
      <x:c r="G16" s="24" t="str">
        <x:v>g</x:v>
      </x:c>
      <x:c r="H16" s="25" t="str">
        <x:v>Doble shot</x:v>
      </x:c>
    </x:row>
    <x:row r="17" ht="15" hidden="0" customHeight="1">
      <x:c r="A17" s="23" t="str">
        <x:v>REC-012</x:v>
      </x:c>
      <x:c r="B17" s="24" t="str">
        <x:v>PRD-007</x:v>
      </x:c>
      <x:c r="C17" s="24" t="str">
        <x:v>Mocha</x:v>
      </x:c>
      <x:c r="D17" s="24" t="str">
        <x:v>INS-002</x:v>
      </x:c>
      <x:c r="E17" s="24" t="str">
        <x:v>Leche entera</x:v>
      </x:c>
      <x:c r="F17" s="24" t="n">
        <x:v>180</x:v>
      </x:c>
      <x:c r="G17" s="24" t="str">
        <x:v>ml</x:v>
      </x:c>
      <x:c r="H17" s="25" t="str">
        <x:v>Leche vaporizada</x:v>
      </x:c>
    </x:row>
    <x:row r="18" ht="15" hidden="0" customHeight="1">
      <x:c r="A18" s="23" t="str">
        <x:v>REC-013</x:v>
      </x:c>
      <x:c r="B18" s="24" t="str">
        <x:v>PRD-007</x:v>
      </x:c>
      <x:c r="C18" s="24" t="str">
        <x:v>Mocha</x:v>
      </x:c>
      <x:c r="D18" s="24" t="str">
        <x:v>INS-003</x:v>
      </x:c>
      <x:c r="E18" s="24" t="str">
        <x:v>Chocolate</x:v>
      </x:c>
      <x:c r="F18" s="24" t="n">
        <x:v>25</x:v>
      </x:c>
      <x:c r="G18" s="24" t="str">
        <x:v>g</x:v>
      </x:c>
      <x:c r="H18" s="25" t="str">
        <x:v>Salsa chocolate</x:v>
      </x:c>
    </x:row>
    <x:row r="19" ht="15" hidden="0" customHeight="1">
      <x:c r="A19" s="23" t="str">
        <x:v>REC-014</x:v>
      </x:c>
      <x:c r="B19" s="24" t="str">
        <x:v>PRD-008</x:v>
      </x:c>
      <x:c r="C19" s="24" t="str">
        <x:v>Chai Latte</x:v>
      </x:c>
      <x:c r="D19" s="24" t="str">
        <x:v>INS-002</x:v>
      </x:c>
      <x:c r="E19" s="24" t="str">
        <x:v>Leche entera</x:v>
      </x:c>
      <x:c r="F19" s="24" t="n">
        <x:v>240</x:v>
      </x:c>
      <x:c r="G19" s="24" t="str">
        <x:v>ml</x:v>
      </x:c>
      <x:c r="H19" s="25" t="str">
        <x:v>Leche vaporizada</x:v>
      </x:c>
    </x:row>
    <x:row r="20" ht="15" hidden="0" customHeight="1">
      <x:c r="A20" s="23" t="str">
        <x:v>REC-015</x:v>
      </x:c>
      <x:c r="B20" s="24" t="str">
        <x:v>PRD-008</x:v>
      </x:c>
      <x:c r="C20" s="24" t="str">
        <x:v>Chai Latte</x:v>
      </x:c>
      <x:c r="D20" s="24" t="str">
        <x:v>INS-004</x:v>
      </x:c>
      <x:c r="E20" s="24" t="str">
        <x:v>Chai especiado</x:v>
      </x:c>
      <x:c r="F20" s="24" t="n">
        <x:v>18</x:v>
      </x:c>
      <x:c r="G20" s="24" t="str">
        <x:v>g</x:v>
      </x:c>
      <x:c r="H20" s="25" t="str">
        <x:v>Polvo chai</x:v>
      </x:c>
    </x:row>
    <x:row r="21" ht="15" hidden="0" customHeight="1">
      <x:c r="A21" s="26" t="str">
        <x:v>REC-016</x:v>
      </x:c>
      <x:c r="B21" s="27" t="str">
        <x:v>PRD-001</x:v>
      </x:c>
      <x:c r="C21" s="27" t="str">
        <x:v>Espresso</x:v>
      </x:c>
      <x:c r="D21" s="27" t="str">
        <x:v>INS-005</x:v>
      </x:c>
      <x:c r="E21" s="27" t="str">
        <x:v>Vasos 12 oz</x:v>
      </x:c>
      <x:c r="F21" s="27" t="n">
        <x:v>1</x:v>
      </x:c>
      <x:c r="G21" s="27" t="str">
        <x:v>Unidad</x:v>
      </x:c>
      <x:c r="H21" s="28" t="str">
        <x:v>Para take away</x:v>
      </x:c>
    </x:row>
  </x:sheetData>
  <x:pageMargins left="0.7" right="0.7" top="0.75" bottom="0.75" header="0.3" footer="0.3"/>
  <x:tableParts count="1">
    <x:tablePart xmlns:r="http://schemas.openxmlformats.org/officeDocument/2006/relationships" r:id="R38a1065895d24af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18" hidden="0" customWidth="1"/>
    <x:col min="11" max="11" width="26" hidden="0" customWidth="1"/>
  </x:cols>
  <x:sheetData>
    <x:row r="1" ht="12" customHeight="1"/>
    <x:row r="2" ht="15" hidden="0" customHeight="1">
      <x:c r="A2" s="68" t="str">
        <x:v>Stock actual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</x:row>
    <x:row r="5" ht="15" hidden="0" customHeight="1">
      <x:c r="A5" s="81" t="str">
        <x:v>ID insumo</x:v>
      </x:c>
      <x:c r="B5" s="81" t="str">
        <x:v>Insumo</x:v>
      </x:c>
      <x:c r="C5" s="81" t="str">
        <x:v>Unidad</x:v>
      </x:c>
      <x:c r="D5" s="81" t="str">
        <x:v>Stock inicial</x:v>
      </x:c>
      <x:c r="E5" s="81" t="str">
        <x:v>Mínimo</x:v>
      </x:c>
      <x:c r="F5" s="81" t="str">
        <x:v>Costo unitario</x:v>
      </x:c>
      <x:c r="G5" s="81" t="str">
        <x:v>Ingresos</x:v>
      </x:c>
      <x:c r="H5" s="81" t="str">
        <x:v>Egresos</x:v>
      </x:c>
      <x:c r="I5" s="81" t="str">
        <x:v>Stock actual</x:v>
      </x:c>
      <x:c r="J5" s="81" t="str">
        <x:v>Valor stock</x:v>
      </x:c>
      <x:c r="K5" s="81" t="str">
        <x:v>Estado</x:v>
      </x:c>
    </x:row>
    <x:row r="6" ht="15" hidden="0" customHeight="1">
      <x:c r="A6" s="20" t="str">
        <x:v>INS-001</x:v>
      </x:c>
      <x:c r="B6" s="21" t="str">
        <x:v>Café en grano</x:v>
      </x:c>
      <x:c r="C6" s="21" t="str">
        <x:v>g</x:v>
      </x:c>
      <x:c r="D6" s="21" t="n">
        <x:v>300</x:v>
      </x:c>
      <x:c r="E6" s="21" t="n">
        <x:v>5</x:v>
      </x:c>
      <x:c r="F6" s="36" t="n">
        <x:v>38</x:v>
      </x:c>
      <x:c r="G6" s="21" t="n">
        <x:f>SUMIFS('Mov. stock'!$G$6:$G$200,'Mov. stock'!$D$6:$D$200,$A6,'Mov. stock'!$F$6:$F$200,"Ingreso")</x:f>
        <x:v>6000</x:v>
      </x:c>
      <x:c r="H6" s="21" t="n">
        <x:f>SUMIFS('Mov. stock'!$G$6:$G$200,'Mov. stock'!$D$6:$D$200,$A6,'Mov. stock'!$F$6:$F$200,"Egreso")</x:f>
        <x:v>414</x:v>
      </x:c>
      <x:c r="I6" s="21" t="n">
        <x:f>D6+G6-H6</x:f>
        <x:v>5886</x:v>
      </x:c>
      <x:c r="J6" s="36" t="n">
        <x:f>I6*F6</x:f>
        <x:v>223668</x:v>
      </x:c>
      <x:c r="K6" s="22" t="str">
        <x:f>IF(I6&lt;=E6,"REPOSICIÓN",IF(I6&lt;=E6*2,"BAJO","OK"))</x:f>
        <x:v>OK</x:v>
      </x:c>
    </x:row>
    <x:row r="7" ht="15" hidden="0" customHeight="1">
      <x:c r="A7" s="23" t="str">
        <x:v>INS-002</x:v>
      </x:c>
      <x:c r="B7" s="24" t="str">
        <x:v>Leche entera</x:v>
      </x:c>
      <x:c r="C7" s="24" t="str">
        <x:v>ml</x:v>
      </x:c>
      <x:c r="D7" s="24" t="n">
        <x:v>1500</x:v>
      </x:c>
      <x:c r="E7" s="24" t="n">
        <x:v>5</x:v>
      </x:c>
      <x:c r="F7" s="31" t="n">
        <x:v>1.2</x:v>
      </x:c>
      <x:c r="G7" s="24" t="n">
        <x:f>SUMIFS('Mov. stock'!$G$6:$G$200,'Mov. stock'!$D$6:$D$200,$A7,'Mov. stock'!$F$6:$F$200,"Ingreso")</x:f>
        <x:v>24000</x:v>
      </x:c>
      <x:c r="H7" s="24" t="n">
        <x:f>SUMIFS('Mov. stock'!$G$6:$G$200,'Mov. stock'!$D$6:$D$200,$A7,'Mov. stock'!$F$6:$F$200,"Egreso")</x:f>
        <x:v>7140</x:v>
      </x:c>
      <x:c r="I7" s="24" t="n">
        <x:f>D7+G7-H7</x:f>
        <x:v>18360</x:v>
      </x:c>
      <x:c r="J7" s="31" t="n">
        <x:f>I7*F7</x:f>
        <x:v>22032</x:v>
      </x:c>
      <x:c r="K7" s="25" t="str">
        <x:f>IF(I7&lt;=E7,"REPOSICIÓN",IF(I7&lt;=E7*2,"BAJO","OK"))</x:f>
        <x:v>OK</x:v>
      </x:c>
    </x:row>
    <x:row r="8" ht="15" hidden="0" customHeight="1">
      <x:c r="A8" s="23" t="str">
        <x:v>INS-003</x:v>
      </x:c>
      <x:c r="B8" s="24" t="str">
        <x:v>Chocolate</x:v>
      </x:c>
      <x:c r="C8" s="24" t="str">
        <x:v>g</x:v>
      </x:c>
      <x:c r="D8" s="24" t="n">
        <x:v>150</x:v>
      </x:c>
      <x:c r="E8" s="24" t="n">
        <x:v>5</x:v>
      </x:c>
      <x:c r="F8" s="31" t="n">
        <x:v>7</x:v>
      </x:c>
      <x:c r="G8" s="24" t="n">
        <x:f>SUMIFS('Mov. stock'!$G$6:$G$200,'Mov. stock'!$D$6:$D$200,$A8,'Mov. stock'!$F$6:$F$200,"Ingreso")</x:f>
        <x:v>1000</x:v>
      </x:c>
      <x:c r="H8" s="24" t="n">
        <x:f>SUMIFS('Mov. stock'!$G$6:$G$200,'Mov. stock'!$D$6:$D$200,$A8,'Mov. stock'!$F$6:$F$200,"Egreso")</x:f>
        <x:v>225</x:v>
      </x:c>
      <x:c r="I8" s="24" t="n">
        <x:f>D8+G8-H8</x:f>
        <x:v>925</x:v>
      </x:c>
      <x:c r="J8" s="31" t="n">
        <x:f>I8*F8</x:f>
        <x:v>6475</x:v>
      </x:c>
      <x:c r="K8" s="25" t="str">
        <x:f>IF(I8&lt;=E8,"REPOSICIÓN",IF(I8&lt;=E8*2,"BAJO","OK"))</x:f>
        <x:v>OK</x:v>
      </x:c>
    </x:row>
    <x:row r="9" ht="15" hidden="0" customHeight="1">
      <x:c r="A9" s="23" t="str">
        <x:v>INS-004</x:v>
      </x:c>
      <x:c r="B9" s="24" t="str">
        <x:v>Chai especiado</x:v>
      </x:c>
      <x:c r="C9" s="24" t="str">
        <x:v>g</x:v>
      </x:c>
      <x:c r="D9" s="24" t="n">
        <x:v>100</x:v>
      </x:c>
      <x:c r="E9" s="24" t="n">
        <x:v>5</x:v>
      </x:c>
      <x:c r="F9" s="31" t="n">
        <x:v>11</x:v>
      </x:c>
      <x:c r="G9" s="24" t="n">
        <x:f>SUMIFS('Mov. stock'!$G$6:$G$200,'Mov. stock'!$D$6:$D$200,$A9,'Mov. stock'!$F$6:$F$200,"Ingreso")</x:f>
        <x:v>800</x:v>
      </x:c>
      <x:c r="H9" s="24" t="n">
        <x:f>SUMIFS('Mov. stock'!$G$6:$G$200,'Mov. stock'!$D$6:$D$200,$A9,'Mov. stock'!$F$6:$F$200,"Egreso")</x:f>
        <x:v>144</x:v>
      </x:c>
      <x:c r="I9" s="24" t="n">
        <x:f>D9+G9-H9</x:f>
        <x:v>756</x:v>
      </x:c>
      <x:c r="J9" s="31" t="n">
        <x:f>I9*F9</x:f>
        <x:v>8316</x:v>
      </x:c>
      <x:c r="K9" s="25" t="str">
        <x:f>IF(I9&lt;=E9,"REPOSICIÓN",IF(I9&lt;=E9*2,"BAJO","OK"))</x:f>
        <x:v>OK</x:v>
      </x:c>
    </x:row>
    <x:row r="10" ht="15" hidden="0" customHeight="1">
      <x:c r="A10" s="23" t="str">
        <x:v>INS-005</x:v>
      </x:c>
      <x:c r="B10" s="24" t="str">
        <x:v>Vasos 12 oz</x:v>
      </x:c>
      <x:c r="C10" s="24" t="str">
        <x:v>Unidad</x:v>
      </x:c>
      <x:c r="D10" s="24" t="n">
        <x:v>25</x:v>
      </x:c>
      <x:c r="E10" s="24" t="n">
        <x:v>5</x:v>
      </x:c>
      <x:c r="F10" s="31" t="n">
        <x:v>180</x:v>
      </x:c>
      <x:c r="G10" s="24" t="n">
        <x:f>SUMIFS('Mov. stock'!$G$6:$G$200,'Mov. stock'!$D$6:$D$200,$A10,'Mov. stock'!$F$6:$F$200,"Ingreso")</x:f>
        <x:v>250</x:v>
      </x:c>
      <x:c r="H10" s="24" t="n">
        <x:f>SUMIFS('Mov. stock'!$G$6:$G$200,'Mov. stock'!$D$6:$D$200,$A10,'Mov. stock'!$F$6:$F$200,"Egreso")</x:f>
        <x:v>8</x:v>
      </x:c>
      <x:c r="I10" s="24" t="n">
        <x:f>D10+G10-H10</x:f>
        <x:v>267</x:v>
      </x:c>
      <x:c r="J10" s="31" t="n">
        <x:f>I10*F10</x:f>
        <x:v>48060</x:v>
      </x:c>
      <x:c r="K10" s="25" t="str">
        <x:f>IF(I10&lt;=E10,"REPOSICIÓN",IF(I10&lt;=E10*2,"BAJO","OK"))</x:f>
        <x:v>OK</x:v>
      </x:c>
    </x:row>
    <x:row r="11" ht="15" hidden="0" customHeight="1">
      <x:c r="A11" s="26" t="str">
        <x:v>INS-006</x:v>
      </x:c>
      <x:c r="B11" s="27" t="str">
        <x:v>Café molido 250 g</x:v>
      </x:c>
      <x:c r="C11" s="27" t="str">
        <x:v>Bolsa</x:v>
      </x:c>
      <x:c r="D11" s="27" t="n">
        <x:v>8</x:v>
      </x:c>
      <x:c r="E11" s="27" t="n">
        <x:v>5</x:v>
      </x:c>
      <x:c r="F11" s="37" t="n">
        <x:v>4200</x:v>
      </x:c>
      <x:c r="G11" s="27" t="n">
        <x:f>SUMIFS('Mov. stock'!$G$6:$G$200,'Mov. stock'!$D$6:$D$200,$A11,'Mov. stock'!$F$6:$F$200,"Ingreso")</x:f>
        <x:v>70</x:v>
      </x:c>
      <x:c r="H11" s="27" t="n">
        <x:f>SUMIFS('Mov. stock'!$G$6:$G$200,'Mov. stock'!$D$6:$D$200,$A11,'Mov. stock'!$F$6:$F$200,"Egreso")</x:f>
        <x:v>0</x:v>
      </x:c>
      <x:c r="I11" s="27" t="n">
        <x:f>D11+G11-H11</x:f>
        <x:v>78</x:v>
      </x:c>
      <x:c r="J11" s="37" t="n">
        <x:f>I11*F11</x:f>
        <x:v>327600</x:v>
      </x:c>
      <x:c r="K11" s="28" t="str">
        <x:f>IF(I11&lt;=E11,"REPOSICIÓN",IF(I11&lt;=E11*2,"BAJO","OK"))</x:f>
        <x:v>OK</x:v>
      </x:c>
    </x:row>
  </x:sheetData>
  <x:conditionalFormatting sqref="K6:K11">
    <x:cfRule type="containsText" dxfId="0" priority="1" operator="containsText" text="REPOSICIÓN"/>
    <x:cfRule type="containsText" dxfId="1" priority="2" operator="containsText" text="BAJO"/>
  </x:conditionalFormatting>
  <x:pageMargins left="0.7" right="0.7" top="0.75" bottom="0.75" header="0.3" footer="0.3"/>
  <x:tableParts count="1">
    <x:tablePart xmlns:r="http://schemas.openxmlformats.org/officeDocument/2006/relationships" r:id="Rdbac671fd2c8468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3" hidden="0" customWidth="1"/>
    <x:col min="4" max="4" width="22" hidden="0" customWidth="1"/>
    <x:col min="5" max="5" width="18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8" hidden="0" customWidth="1"/>
    <x:col min="11" max="11" width="24" hidden="0" customWidth="1"/>
  </x:cols>
  <x:sheetData>
    <x:row r="1" ht="12" customHeight="1"/>
    <x:row r="2" ht="15" hidden="0" customHeight="1">
      <x:c r="A2" s="68" t="str">
        <x:v>Movimientos de stock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</x:row>
    <x:row r="5" ht="15" hidden="0" customHeight="1">
      <x:c r="A5" s="81" t="str">
        <x:v>ID mov.</x:v>
      </x:c>
      <x:c r="B5" s="81" t="str">
        <x:v>Fecha y hora</x:v>
      </x:c>
      <x:c r="C5" s="81" t="str">
        <x:v>Tipo</x:v>
      </x:c>
      <x:c r="D5" s="81" t="str">
        <x:v>ID insumo</x:v>
      </x:c>
      <x:c r="E5" s="81" t="str">
        <x:v>Insumo</x:v>
      </x:c>
      <x:c r="F5" s="81" t="str">
        <x:v>Sentido</x:v>
      </x:c>
      <x:c r="G5" s="81" t="str">
        <x:v>Cantidad</x:v>
      </x:c>
      <x:c r="H5" s="81" t="str">
        <x:v>Unidad</x:v>
      </x:c>
      <x:c r="I5" s="81" t="str">
        <x:v>Referencia</x:v>
      </x:c>
      <x:c r="J5" s="81" t="str">
        <x:v>Contraparte</x:v>
      </x:c>
      <x:c r="K5" s="81" t="str">
        <x:v>Motivo</x:v>
      </x:c>
    </x:row>
    <x:row r="6" ht="15" hidden="0" customHeight="1">
      <x:c r="A6" s="20" t="str">
        <x:v>MS-001</x:v>
      </x:c>
      <x:c r="B6" s="40" t="n">
        <x:v>46266.458333333336</x:v>
      </x:c>
      <x:c r="C6" s="21" t="str">
        <x:v>Compra</x:v>
      </x:c>
      <x:c r="D6" s="21" t="str">
        <x:v>INS-001</x:v>
      </x:c>
      <x:c r="E6" s="21" t="str">
        <x:v>Café en grano</x:v>
      </x:c>
      <x:c r="F6" s="21" t="str">
        <x:v>Ingreso</x:v>
      </x:c>
      <x:c r="G6" s="21" t="n">
        <x:v>6000</x:v>
      </x:c>
      <x:c r="H6" s="21" t="str">
        <x:v>g</x:v>
      </x:c>
      <x:c r="I6" s="21" t="str">
        <x:v>OC-001</x:v>
      </x:c>
      <x:c r="J6" s="21" t="str">
        <x:v>Café del Mundo</x:v>
      </x:c>
      <x:c r="K6" s="22" t="str">
        <x:v>Ingreso proveedor</x:v>
      </x:c>
    </x:row>
    <x:row r="7" ht="15" hidden="0" customHeight="1">
      <x:c r="A7" s="23" t="str">
        <x:v>MS-002</x:v>
      </x:c>
      <x:c r="B7" s="41" t="n">
        <x:v>46266.458333333336</x:v>
      </x:c>
      <x:c r="C7" s="24" t="str">
        <x:v>Compra</x:v>
      </x:c>
      <x:c r="D7" s="24" t="str">
        <x:v>INS-002</x:v>
      </x:c>
      <x:c r="E7" s="24" t="str">
        <x:v>Leche entera</x:v>
      </x:c>
      <x:c r="F7" s="24" t="str">
        <x:v>Ingreso</x:v>
      </x:c>
      <x:c r="G7" s="24" t="n">
        <x:v>24000</x:v>
      </x:c>
      <x:c r="H7" s="24" t="str">
        <x:v>ml</x:v>
      </x:c>
      <x:c r="I7" s="24" t="str">
        <x:v>OC-002</x:v>
      </x:c>
      <x:c r="J7" s="24" t="str">
        <x:v>Lácteos Sur</x:v>
      </x:c>
      <x:c r="K7" s="25" t="str">
        <x:v>Ingreso proveedor</x:v>
      </x:c>
    </x:row>
    <x:row r="8" ht="15" hidden="0" customHeight="1">
      <x:c r="A8" s="23" t="str">
        <x:v>MS-003</x:v>
      </x:c>
      <x:c r="B8" s="41" t="n">
        <x:v>46266.458333333336</x:v>
      </x:c>
      <x:c r="C8" s="24" t="str">
        <x:v>Compra</x:v>
      </x:c>
      <x:c r="D8" s="24" t="str">
        <x:v>INS-003</x:v>
      </x:c>
      <x:c r="E8" s="24" t="str">
        <x:v>Chocolate</x:v>
      </x:c>
      <x:c r="F8" s="24" t="str">
        <x:v>Ingreso</x:v>
      </x:c>
      <x:c r="G8" s="24" t="n">
        <x:v>1000</x:v>
      </x:c>
      <x:c r="H8" s="24" t="str">
        <x:v>g</x:v>
      </x:c>
      <x:c r="I8" s="24" t="str">
        <x:v>OC-003</x:v>
      </x:c>
      <x:c r="J8" s="24" t="str">
        <x:v>Dulces &amp; Co.</x:v>
      </x:c>
      <x:c r="K8" s="25" t="str">
        <x:v>Ingreso proveedor</x:v>
      </x:c>
    </x:row>
    <x:row r="9" ht="15" hidden="0" customHeight="1">
      <x:c r="A9" s="23" t="str">
        <x:v>MS-004</x:v>
      </x:c>
      <x:c r="B9" s="41" t="n">
        <x:v>46266.458333333336</x:v>
      </x:c>
      <x:c r="C9" s="24" t="str">
        <x:v>Compra</x:v>
      </x:c>
      <x:c r="D9" s="24" t="str">
        <x:v>INS-004</x:v>
      </x:c>
      <x:c r="E9" s="24" t="str">
        <x:v>Chai especiado</x:v>
      </x:c>
      <x:c r="F9" s="24" t="str">
        <x:v>Ingreso</x:v>
      </x:c>
      <x:c r="G9" s="24" t="n">
        <x:v>800</x:v>
      </x:c>
      <x:c r="H9" s="24" t="str">
        <x:v>g</x:v>
      </x:c>
      <x:c r="I9" s="24" t="str">
        <x:v>OC-004</x:v>
      </x:c>
      <x:c r="J9" s="24" t="str">
        <x:v>Té &amp; Especias</x:v>
      </x:c>
      <x:c r="K9" s="25" t="str">
        <x:v>Ingreso proveedor</x:v>
      </x:c>
    </x:row>
    <x:row r="10" ht="15" hidden="0" customHeight="1">
      <x:c r="A10" s="23" t="str">
        <x:v>MS-005</x:v>
      </x:c>
      <x:c r="B10" s="41" t="n">
        <x:v>46266.458333333336</x:v>
      </x:c>
      <x:c r="C10" s="24" t="str">
        <x:v>Compra</x:v>
      </x:c>
      <x:c r="D10" s="24" t="str">
        <x:v>INS-005</x:v>
      </x:c>
      <x:c r="E10" s="24" t="str">
        <x:v>Vasos 12 oz</x:v>
      </x:c>
      <x:c r="F10" s="24" t="str">
        <x:v>Ingreso</x:v>
      </x:c>
      <x:c r="G10" s="24" t="n">
        <x:v>250</x:v>
      </x:c>
      <x:c r="H10" s="24" t="str">
        <x:v>Unidad</x:v>
      </x:c>
      <x:c r="I10" s="24" t="str">
        <x:v>OC-005</x:v>
      </x:c>
      <x:c r="J10" s="24" t="str">
        <x:v>Packaging Arg.</x:v>
      </x:c>
      <x:c r="K10" s="25" t="str">
        <x:v>Ingreso proveedor</x:v>
      </x:c>
    </x:row>
    <x:row r="11" ht="15" hidden="0" customHeight="1">
      <x:c r="A11" s="23" t="str">
        <x:v>MS-006</x:v>
      </x:c>
      <x:c r="B11" s="41" t="n">
        <x:v>46266.458333333336</x:v>
      </x:c>
      <x:c r="C11" s="24" t="str">
        <x:v>Compra</x:v>
      </x:c>
      <x:c r="D11" s="24" t="str">
        <x:v>INS-006</x:v>
      </x:c>
      <x:c r="E11" s="24" t="str">
        <x:v>Café molido 250 g</x:v>
      </x:c>
      <x:c r="F11" s="24" t="str">
        <x:v>Ingreso</x:v>
      </x:c>
      <x:c r="G11" s="24" t="n">
        <x:v>70</x:v>
      </x:c>
      <x:c r="H11" s="24" t="str">
        <x:v>Bolsa</x:v>
      </x:c>
      <x:c r="I11" s="24" t="str">
        <x:v>OC-001</x:v>
      </x:c>
      <x:c r="J11" s="24" t="str">
        <x:v>Café del Mundo</x:v>
      </x:c>
      <x:c r="K11" s="25" t="str">
        <x:v>Retail</x:v>
      </x:c>
    </x:row>
    <x:row r="12" ht="15" hidden="0" customHeight="1">
      <x:c r="A12" s="23" t="str">
        <x:v>MS-007</x:v>
      </x:c>
      <x:c r="B12" s="41" t="n">
        <x:v>46271.9375</x:v>
      </x:c>
      <x:c r="C12" s="24" t="str">
        <x:v>Venta</x:v>
      </x:c>
      <x:c r="D12" s="24" t="str">
        <x:v>INS-001</x:v>
      </x:c>
      <x:c r="E12" s="24" t="str">
        <x:v>Café en grano</x:v>
      </x:c>
      <x:c r="F12" s="24" t="str">
        <x:v>Egreso</x:v>
      </x:c>
      <x:c r="G12" s="24" t="n">
        <x:v>108</x:v>
      </x:c>
      <x:c r="H12" s="24" t="str">
        <x:v>g</x:v>
      </x:c>
      <x:c r="I12" s="24" t="str">
        <x:v>V-1001</x:v>
      </x:c>
      <x:c r="J12" s="24" t="str">
        <x:v>Ramax Café</x:v>
      </x:c>
      <x:c r="K12" s="25" t="str">
        <x:v>Consumo recetas</x:v>
      </x:c>
    </x:row>
    <x:row r="13" ht="15" hidden="0" customHeight="1">
      <x:c r="A13" s="23" t="str">
        <x:v>MS-008</x:v>
      </x:c>
      <x:c r="B13" s="41" t="n">
        <x:v>46273.9375</x:v>
      </x:c>
      <x:c r="C13" s="24" t="str">
        <x:v>Venta</x:v>
      </x:c>
      <x:c r="D13" s="24" t="str">
        <x:v>INS-001</x:v>
      </x:c>
      <x:c r="E13" s="24" t="str">
        <x:v>Café en grano</x:v>
      </x:c>
      <x:c r="F13" s="24" t="str">
        <x:v>Egreso</x:v>
      </x:c>
      <x:c r="G13" s="24" t="n">
        <x:v>144</x:v>
      </x:c>
      <x:c r="H13" s="24" t="str">
        <x:v>g</x:v>
      </x:c>
      <x:c r="I13" s="24" t="str">
        <x:v>V-1002</x:v>
      </x:c>
      <x:c r="J13" s="24" t="str">
        <x:v>Ramax Café</x:v>
      </x:c>
      <x:c r="K13" s="25" t="str">
        <x:v>Consumo recetas</x:v>
      </x:c>
    </x:row>
    <x:row r="14" ht="15" hidden="0" customHeight="1">
      <x:c r="A14" s="23" t="str">
        <x:v>MS-009</x:v>
      </x:c>
      <x:c r="B14" s="41" t="n">
        <x:v>46275.9375</x:v>
      </x:c>
      <x:c r="C14" s="24" t="str">
        <x:v>Venta</x:v>
      </x:c>
      <x:c r="D14" s="24" t="str">
        <x:v>INS-001</x:v>
      </x:c>
      <x:c r="E14" s="24" t="str">
        <x:v>Café en grano</x:v>
      </x:c>
      <x:c r="F14" s="24" t="str">
        <x:v>Egreso</x:v>
      </x:c>
      <x:c r="G14" s="24" t="n">
        <x:v>162</x:v>
      </x:c>
      <x:c r="H14" s="24" t="str">
        <x:v>g</x:v>
      </x:c>
      <x:c r="I14" s="24" t="str">
        <x:v>V-1003</x:v>
      </x:c>
      <x:c r="J14" s="24" t="str">
        <x:v>Ramax Café</x:v>
      </x:c>
      <x:c r="K14" s="25" t="str">
        <x:v>Consumo recetas</x:v>
      </x:c>
    </x:row>
    <x:row r="15" ht="15" hidden="0" customHeight="1">
      <x:c r="A15" s="23" t="str">
        <x:v>MS-010</x:v>
      </x:c>
      <x:c r="B15" s="41" t="n">
        <x:v>46271.9375</x:v>
      </x:c>
      <x:c r="C15" s="24" t="str">
        <x:v>Venta</x:v>
      </x:c>
      <x:c r="D15" s="24" t="str">
        <x:v>INS-002</x:v>
      </x:c>
      <x:c r="E15" s="24" t="str">
        <x:v>Leche entera</x:v>
      </x:c>
      <x:c r="F15" s="24" t="str">
        <x:v>Egreso</x:v>
      </x:c>
      <x:c r="G15" s="24" t="n">
        <x:v>1080</x:v>
      </x:c>
      <x:c r="H15" s="24" t="str">
        <x:v>ml</x:v>
      </x:c>
      <x:c r="I15" s="24" t="str">
        <x:v>V-1001</x:v>
      </x:c>
      <x:c r="J15" s="24" t="str">
        <x:v>Ramax Café</x:v>
      </x:c>
      <x:c r="K15" s="25" t="str">
        <x:v>Consumo recetas</x:v>
      </x:c>
    </x:row>
    <x:row r="16" ht="15" hidden="0" customHeight="1">
      <x:c r="A16" s="23" t="str">
        <x:v>MS-011</x:v>
      </x:c>
      <x:c r="B16" s="41" t="n">
        <x:v>46273.9375</x:v>
      </x:c>
      <x:c r="C16" s="24" t="str">
        <x:v>Venta</x:v>
      </x:c>
      <x:c r="D16" s="24" t="str">
        <x:v>INS-002</x:v>
      </x:c>
      <x:c r="E16" s="24" t="str">
        <x:v>Leche entera</x:v>
      </x:c>
      <x:c r="F16" s="24" t="str">
        <x:v>Egreso</x:v>
      </x:c>
      <x:c r="G16" s="24" t="n">
        <x:v>1920</x:v>
      </x:c>
      <x:c r="H16" s="24" t="str">
        <x:v>ml</x:v>
      </x:c>
      <x:c r="I16" s="24" t="str">
        <x:v>V-1002</x:v>
      </x:c>
      <x:c r="J16" s="24" t="str">
        <x:v>Ramax Café</x:v>
      </x:c>
      <x:c r="K16" s="25" t="str">
        <x:v>Consumo recetas</x:v>
      </x:c>
    </x:row>
    <x:row r="17" ht="15" hidden="0" customHeight="1">
      <x:c r="A17" s="23" t="str">
        <x:v>MS-012</x:v>
      </x:c>
      <x:c r="B17" s="41" t="n">
        <x:v>46275.9375</x:v>
      </x:c>
      <x:c r="C17" s="24" t="str">
        <x:v>Venta</x:v>
      </x:c>
      <x:c r="D17" s="24" t="str">
        <x:v>INS-002</x:v>
      </x:c>
      <x:c r="E17" s="24" t="str">
        <x:v>Leche entera</x:v>
      </x:c>
      <x:c r="F17" s="24" t="str">
        <x:v>Egreso</x:v>
      </x:c>
      <x:c r="G17" s="24" t="n">
        <x:v>3540</x:v>
      </x:c>
      <x:c r="H17" s="24" t="str">
        <x:v>ml</x:v>
      </x:c>
      <x:c r="I17" s="24" t="str">
        <x:v>V-1003</x:v>
      </x:c>
      <x:c r="J17" s="24" t="str">
        <x:v>Ramax Café</x:v>
      </x:c>
      <x:c r="K17" s="25" t="str">
        <x:v>Consumo recetas</x:v>
      </x:c>
    </x:row>
    <x:row r="18" ht="15" hidden="0" customHeight="1">
      <x:c r="A18" s="23" t="str">
        <x:v>MS-013</x:v>
      </x:c>
      <x:c r="B18" s="41" t="n">
        <x:v>46275.9375</x:v>
      </x:c>
      <x:c r="C18" s="24" t="str">
        <x:v>Venta</x:v>
      </x:c>
      <x:c r="D18" s="24" t="str">
        <x:v>INS-003</x:v>
      </x:c>
      <x:c r="E18" s="24" t="str">
        <x:v>Chocolate</x:v>
      </x:c>
      <x:c r="F18" s="24" t="str">
        <x:v>Egreso</x:v>
      </x:c>
      <x:c r="G18" s="24" t="n">
        <x:v>225</x:v>
      </x:c>
      <x:c r="H18" s="24" t="str">
        <x:v>g</x:v>
      </x:c>
      <x:c r="I18" s="24" t="str">
        <x:v>V-1003</x:v>
      </x:c>
      <x:c r="J18" s="24" t="str">
        <x:v>Ramax Café</x:v>
      </x:c>
      <x:c r="K18" s="25" t="str">
        <x:v>Consumo recetas</x:v>
      </x:c>
    </x:row>
    <x:row r="19" ht="15" hidden="0" customHeight="1">
      <x:c r="A19" s="23" t="str">
        <x:v>MS-014</x:v>
      </x:c>
      <x:c r="B19" s="41" t="n">
        <x:v>46275.9375</x:v>
      </x:c>
      <x:c r="C19" s="24" t="str">
        <x:v>Venta</x:v>
      </x:c>
      <x:c r="D19" s="24" t="str">
        <x:v>INS-004</x:v>
      </x:c>
      <x:c r="E19" s="24" t="str">
        <x:v>Chai especiado</x:v>
      </x:c>
      <x:c r="F19" s="24" t="str">
        <x:v>Egreso</x:v>
      </x:c>
      <x:c r="G19" s="24" t="n">
        <x:v>144</x:v>
      </x:c>
      <x:c r="H19" s="24" t="str">
        <x:v>g</x:v>
      </x:c>
      <x:c r="I19" s="24" t="str">
        <x:v>V-1003</x:v>
      </x:c>
      <x:c r="J19" s="24" t="str">
        <x:v>Ramax Café</x:v>
      </x:c>
      <x:c r="K19" s="25" t="str">
        <x:v>Consumo recetas</x:v>
      </x:c>
    </x:row>
    <x:row r="20" ht="15" hidden="0" customHeight="1">
      <x:c r="A20" s="23" t="str">
        <x:v>MS-015</x:v>
      </x:c>
      <x:c r="B20" s="41" t="n">
        <x:v>46275.9375</x:v>
      </x:c>
      <x:c r="C20" s="24" t="str">
        <x:v>Merma</x:v>
      </x:c>
      <x:c r="D20" s="24" t="str">
        <x:v>INS-002</x:v>
      </x:c>
      <x:c r="E20" s="24" t="str">
        <x:v>Leche entera</x:v>
      </x:c>
      <x:c r="F20" s="24" t="str">
        <x:v>Egreso</x:v>
      </x:c>
      <x:c r="G20" s="24" t="n">
        <x:v>600</x:v>
      </x:c>
      <x:c r="H20" s="24" t="str">
        <x:v>ml</x:v>
      </x:c>
      <x:c r="I20" s="24" t="str">
        <x:v>MER-01</x:v>
      </x:c>
      <x:c r="J20" s="24" t="str">
        <x:v>Ramax Café</x:v>
      </x:c>
      <x:c r="K20" s="25" t="str">
        <x:v>Vencimiento</x:v>
      </x:c>
    </x:row>
    <x:row r="21" ht="15" hidden="0" customHeight="1">
      <x:c r="A21" s="26" t="str">
        <x:v>MS-016</x:v>
      </x:c>
      <x:c r="B21" s="42" t="n">
        <x:v>46275.9375</x:v>
      </x:c>
      <x:c r="C21" s="27" t="str">
        <x:v>Ajuste</x:v>
      </x:c>
      <x:c r="D21" s="27" t="str">
        <x:v>INS-005</x:v>
      </x:c>
      <x:c r="E21" s="27" t="str">
        <x:v>Vasos 12 oz</x:v>
      </x:c>
      <x:c r="F21" s="27" t="str">
        <x:v>Egreso</x:v>
      </x:c>
      <x:c r="G21" s="27" t="n">
        <x:v>8</x:v>
      </x:c>
      <x:c r="H21" s="27" t="str">
        <x:v>Unidad</x:v>
      </x:c>
      <x:c r="I21" s="27" t="str">
        <x:v>AJ-01</x:v>
      </x:c>
      <x:c r="J21" s="27" t="str">
        <x:v>Ramax Café</x:v>
      </x:c>
      <x:c r="K21" s="28" t="str">
        <x:v>Conteo físico</x:v>
      </x:c>
    </x:row>
  </x:sheetData>
  <x:dataValidations count="2">
    <x:dataValidation type="list" sqref="C6:C200">
      <x:formula1>"Compra,Venta,Merma,Ajuste,Devolución"</x:formula1>
    </x:dataValidation>
    <x:dataValidation type="list" sqref="F6:F200">
      <x:formula1>"Ingreso,Egreso"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b6de5440584da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8" hidden="0" customWidth="1"/>
    <x:col min="5" max="5" width="22" hidden="0" customWidth="1"/>
    <x:col min="6" max="6" width="16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5" hidden="0" customWidth="1"/>
    <x:col min="13" max="13" width="14" hidden="0" customWidth="1"/>
    <x:col min="14" max="14" width="22" hidden="0" customWidth="1"/>
  </x:cols>
  <x:sheetData>
    <x:row r="1" ht="12" customHeight="1"/>
    <x:row r="2" ht="15" hidden="0" customHeight="1">
      <x:c r="A2" s="68" t="str">
        <x:v>Proveedores y compras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</x:row>
    <x:row r="5" ht="15" hidden="0" customHeight="1">
      <x:c r="A5" s="81" t="str">
        <x:v>OC</x:v>
      </x:c>
      <x:c r="B5" s="81" t="str">
        <x:v>Fecha</x:v>
      </x:c>
      <x:c r="C5" s="81" t="str">
        <x:v>ID proveedor</x:v>
      </x:c>
      <x:c r="D5" s="81" t="str">
        <x:v>Proveedor</x:v>
      </x:c>
      <x:c r="E5" s="81" t="str">
        <x:v>Contacto</x:v>
      </x:c>
      <x:c r="F5" s="81" t="str">
        <x:v>ID insumo</x:v>
      </x:c>
      <x:c r="G5" s="81" t="str">
        <x:v>Insumo</x:v>
      </x:c>
      <x:c r="H5" s="81" t="str">
        <x:v>Cantidad</x:v>
      </x:c>
      <x:c r="I5" s="81" t="str">
        <x:v>Unidad</x:v>
      </x:c>
      <x:c r="J5" s="81" t="str">
        <x:v>Costo unit.</x:v>
      </x:c>
      <x:c r="K5" s="81" t="str">
        <x:v>Subtotal</x:v>
      </x:c>
      <x:c r="L5" s="81" t="str">
        <x:v>IVA</x:v>
      </x:c>
      <x:c r="M5" s="81" t="str">
        <x:v>Total</x:v>
      </x:c>
      <x:c r="N5" s="81" t="str">
        <x:v>Estado</x:v>
      </x:c>
    </x:row>
    <x:row r="6" ht="15" hidden="0" customHeight="1">
      <x:c r="A6" s="20" t="str">
        <x:v>OC-001</x:v>
      </x:c>
      <x:c r="B6" s="29" t="n">
        <x:v>46266</x:v>
      </x:c>
      <x:c r="C6" s="21" t="str">
        <x:v>PV-001</x:v>
      </x:c>
      <x:c r="D6" s="21" t="str">
        <x:v>Café del Mundo</x:v>
      </x:c>
      <x:c r="E6" s="21" t="str">
        <x:v>contacto@cafemundo.ar</x:v>
      </x:c>
      <x:c r="F6" s="21" t="str">
        <x:v>INS-001</x:v>
      </x:c>
      <x:c r="G6" s="21" t="str">
        <x:v>Café en grano</x:v>
      </x:c>
      <x:c r="H6" s="21" t="n">
        <x:v>6000</x:v>
      </x:c>
      <x:c r="I6" s="21" t="str">
        <x:v>g</x:v>
      </x:c>
      <x:c r="J6" s="36" t="n">
        <x:v>38</x:v>
      </x:c>
      <x:c r="K6" s="36" t="n">
        <x:v>228000</x:v>
      </x:c>
      <x:c r="L6" s="38" t="n">
        <x:v>0.21</x:v>
      </x:c>
      <x:c r="M6" s="36" t="n">
        <x:v>275880</x:v>
      </x:c>
      <x:c r="N6" s="22" t="str">
        <x:v>Recibida</x:v>
      </x:c>
    </x:row>
    <x:row r="7" ht="15" hidden="0" customHeight="1">
      <x:c r="A7" s="23" t="str">
        <x:v>OC-001</x:v>
      </x:c>
      <x:c r="B7" s="43" t="n">
        <x:v>46266</x:v>
      </x:c>
      <x:c r="C7" s="24" t="str">
        <x:v>PV-001</x:v>
      </x:c>
      <x:c r="D7" s="24" t="str">
        <x:v>Café del Mundo</x:v>
      </x:c>
      <x:c r="E7" s="24" t="str">
        <x:v>contacto@cafemundo.ar</x:v>
      </x:c>
      <x:c r="F7" s="24" t="str">
        <x:v>INS-006</x:v>
      </x:c>
      <x:c r="G7" s="24" t="str">
        <x:v>Café molido 250 g</x:v>
      </x:c>
      <x:c r="H7" s="24" t="n">
        <x:v>70</x:v>
      </x:c>
      <x:c r="I7" s="24" t="str">
        <x:v>Bolsa</x:v>
      </x:c>
      <x:c r="J7" s="31" t="n">
        <x:v>4200</x:v>
      </x:c>
      <x:c r="K7" s="31" t="n">
        <x:v>294000</x:v>
      </x:c>
      <x:c r="L7" s="30" t="n">
        <x:v>0.21</x:v>
      </x:c>
      <x:c r="M7" s="31" t="n">
        <x:v>355740</x:v>
      </x:c>
      <x:c r="N7" s="25" t="str">
        <x:v>Recibida</x:v>
      </x:c>
    </x:row>
    <x:row r="8" ht="15" hidden="0" customHeight="1">
      <x:c r="A8" s="23" t="str">
        <x:v>OC-002</x:v>
      </x:c>
      <x:c r="B8" s="43" t="n">
        <x:v>46266</x:v>
      </x:c>
      <x:c r="C8" s="24" t="str">
        <x:v>PV-002</x:v>
      </x:c>
      <x:c r="D8" s="24" t="str">
        <x:v>Lácteos Sur</x:v>
      </x:c>
      <x:c r="E8" s="24" t="str">
        <x:v>ventas@lacteossur.ar</x:v>
      </x:c>
      <x:c r="F8" s="24" t="str">
        <x:v>INS-002</x:v>
      </x:c>
      <x:c r="G8" s="24" t="str">
        <x:v>Leche entera</x:v>
      </x:c>
      <x:c r="H8" s="24" t="n">
        <x:v>24000</x:v>
      </x:c>
      <x:c r="I8" s="24" t="str">
        <x:v>ml</x:v>
      </x:c>
      <x:c r="J8" s="31" t="n">
        <x:v>1.2</x:v>
      </x:c>
      <x:c r="K8" s="31" t="n">
        <x:v>28800</x:v>
      </x:c>
      <x:c r="L8" s="30" t="n">
        <x:v>0.21</x:v>
      </x:c>
      <x:c r="M8" s="31" t="n">
        <x:v>34848</x:v>
      </x:c>
      <x:c r="N8" s="25" t="str">
        <x:v>Recibida</x:v>
      </x:c>
    </x:row>
    <x:row r="9" ht="15" hidden="0" customHeight="1">
      <x:c r="A9" s="23" t="str">
        <x:v>OC-003</x:v>
      </x:c>
      <x:c r="B9" s="43" t="n">
        <x:v>46266</x:v>
      </x:c>
      <x:c r="C9" s="24" t="str">
        <x:v>PV-003</x:v>
      </x:c>
      <x:c r="D9" s="24" t="str">
        <x:v>Dulces &amp; Co.</x:v>
      </x:c>
      <x:c r="E9" s="24" t="str">
        <x:v>pedidos@dulcesco.ar</x:v>
      </x:c>
      <x:c r="F9" s="24" t="str">
        <x:v>INS-003</x:v>
      </x:c>
      <x:c r="G9" s="24" t="str">
        <x:v>Chocolate</x:v>
      </x:c>
      <x:c r="H9" s="24" t="n">
        <x:v>1000</x:v>
      </x:c>
      <x:c r="I9" s="24" t="str">
        <x:v>g</x:v>
      </x:c>
      <x:c r="J9" s="31" t="n">
        <x:v>7</x:v>
      </x:c>
      <x:c r="K9" s="31" t="n">
        <x:v>7000</x:v>
      </x:c>
      <x:c r="L9" s="30" t="n">
        <x:v>0.21</x:v>
      </x:c>
      <x:c r="M9" s="31" t="n">
        <x:v>8470</x:v>
      </x:c>
      <x:c r="N9" s="25" t="str">
        <x:v>Recibida</x:v>
      </x:c>
    </x:row>
    <x:row r="10" ht="15" hidden="0" customHeight="1">
      <x:c r="A10" s="23" t="str">
        <x:v>OC-004</x:v>
      </x:c>
      <x:c r="B10" s="43" t="n">
        <x:v>46266</x:v>
      </x:c>
      <x:c r="C10" s="24" t="str">
        <x:v>PV-004</x:v>
      </x:c>
      <x:c r="D10" s="24" t="str">
        <x:v>Té &amp; Especias</x:v>
      </x:c>
      <x:c r="E10" s="24" t="str">
        <x:v>compras@teespecias.ar</x:v>
      </x:c>
      <x:c r="F10" s="24" t="str">
        <x:v>INS-004</x:v>
      </x:c>
      <x:c r="G10" s="24" t="str">
        <x:v>Chai especiado</x:v>
      </x:c>
      <x:c r="H10" s="24" t="n">
        <x:v>800</x:v>
      </x:c>
      <x:c r="I10" s="24" t="str">
        <x:v>g</x:v>
      </x:c>
      <x:c r="J10" s="31" t="n">
        <x:v>11</x:v>
      </x:c>
      <x:c r="K10" s="31" t="n">
        <x:v>8800</x:v>
      </x:c>
      <x:c r="L10" s="30" t="n">
        <x:v>0.21</x:v>
      </x:c>
      <x:c r="M10" s="31" t="n">
        <x:v>10648</x:v>
      </x:c>
      <x:c r="N10" s="25" t="str">
        <x:v>Recibida</x:v>
      </x:c>
    </x:row>
    <x:row r="11" ht="15" hidden="0" customHeight="1">
      <x:c r="A11" s="26" t="str">
        <x:v>OC-005</x:v>
      </x:c>
      <x:c r="B11" s="44" t="n">
        <x:v>46266</x:v>
      </x:c>
      <x:c r="C11" s="27" t="str">
        <x:v>PV-005</x:v>
      </x:c>
      <x:c r="D11" s="27" t="str">
        <x:v>Packaging Arg.</x:v>
      </x:c>
      <x:c r="E11" s="27" t="str">
        <x:v>ventas@packaging.ar</x:v>
      </x:c>
      <x:c r="F11" s="27" t="str">
        <x:v>INS-005</x:v>
      </x:c>
      <x:c r="G11" s="27" t="str">
        <x:v>Vasos 12 oz</x:v>
      </x:c>
      <x:c r="H11" s="27" t="n">
        <x:v>250</x:v>
      </x:c>
      <x:c r="I11" s="27" t="str">
        <x:v>Unidad</x:v>
      </x:c>
      <x:c r="J11" s="37" t="n">
        <x:v>180</x:v>
      </x:c>
      <x:c r="K11" s="37" t="n">
        <x:v>45000</x:v>
      </x:c>
      <x:c r="L11" s="39" t="n">
        <x:v>0.21</x:v>
      </x:c>
      <x:c r="M11" s="37" t="n">
        <x:v>54450</x:v>
      </x:c>
      <x:c r="N11" s="28" t="str">
        <x:v>Recibida</x:v>
      </x:c>
    </x:row>
  </x:sheetData>
  <x:pageMargins left="0.7" right="0.7" top="0.75" bottom="0.75" header="0.3" footer="0.3"/>
  <x:tableParts count="1">
    <x:tablePart xmlns:r="http://schemas.openxmlformats.org/officeDocument/2006/relationships" r:id="R826692288e2349b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5" hidden="0" customWidth="1"/>
    <x:col min="9" max="9" width="17" hidden="0" customWidth="1"/>
    <x:col min="10" max="10" width="16" hidden="0" customWidth="1"/>
    <x:col min="11" max="11" width="14" hidden="0" customWidth="1"/>
    <x:col min="12" max="12" width="22" hidden="0" customWidth="1"/>
  </x:cols>
  <x:sheetData>
    <x:row r="1" ht="12" customHeight="1"/>
    <x:row r="2" ht="15" hidden="0" customHeight="1">
      <x:c r="A2" s="68" t="str">
        <x:v>Ventas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</x:row>
    <x:row r="5" ht="15" hidden="0" customHeight="1">
      <x:c r="A5" s="81" t="str">
        <x:v>ID venta</x:v>
      </x:c>
      <x:c r="B5" s="81" t="str">
        <x:v>Fecha y hora</x:v>
      </x:c>
      <x:c r="C5" s="81" t="str">
        <x:v>Sucursal</x:v>
      </x:c>
      <x:c r="D5" s="81" t="str">
        <x:v>ID socio</x:v>
      </x:c>
      <x:c r="E5" s="81" t="str">
        <x:v>ID empleado</x:v>
      </x:c>
      <x:c r="F5" s="81" t="str">
        <x:v>Medio pago</x:v>
      </x:c>
      <x:c r="G5" s="81" t="str">
        <x:v>Total bruto</x:v>
      </x:c>
      <x:c r="H5" s="81" t="str">
        <x:v>Descuento</x:v>
      </x:c>
      <x:c r="I5" s="81" t="str">
        <x:v>Total cobrado</x:v>
      </x:c>
      <x:c r="J5" s="81" t="str">
        <x:v>Estado</x:v>
      </x:c>
      <x:c r="K5" s="81" t="str">
        <x:v>ID operación</x:v>
      </x:c>
      <x:c r="L5" s="81" t="str">
        <x:v>Observación</x:v>
      </x:c>
    </x:row>
    <x:row r="6" ht="15" hidden="0" customHeight="1">
      <x:c r="A6" s="20" t="str">
        <x:v>V-1001</x:v>
      </x:c>
      <x:c r="B6" s="40" t="n">
        <x:v>46271.552083333336</x:v>
      </x:c>
      <x:c r="C6" s="21" t="str">
        <x:v>S-001</x:v>
      </x:c>
      <x:c r="D6" s="21" t="str">
        <x:v>M-001</x:v>
      </x:c>
      <x:c r="E6" s="21" t="str">
        <x:v>E-002</x:v>
      </x:c>
      <x:c r="F6" s="21" t="str">
        <x:v>Efectivo</x:v>
      </x:c>
      <x:c r="G6" s="36" t="n">
        <x:f>SUMIFS('Detalle ventas'!$G$6:$G$200,'Detalle ventas'!$A$6:$A$200,$A6)</x:f>
        <x:v>63900</x:v>
      </x:c>
      <x:c r="H6" s="36" t="n">
        <x:v>0</x:v>
      </x:c>
      <x:c r="I6" s="36" t="n">
        <x:f>G6-H6</x:f>
        <x:v>63900</x:v>
      </x:c>
      <x:c r="J6" s="21" t="str">
        <x:v>Abonada</x:v>
      </x:c>
      <x:c r="K6" s="21" t="str">
        <x:v>OP-1001</x:v>
      </x:c>
      <x:c r="L6" s="22" t="str">
        <x:v>Compra Club</x:v>
      </x:c>
    </x:row>
    <x:row r="7" ht="15" hidden="0" customHeight="1">
      <x:c r="A7" s="23" t="str">
        <x:v>V-1002</x:v>
      </x:c>
      <x:c r="B7" s="41" t="n">
        <x:v>46273.65277777778</x:v>
      </x:c>
      <x:c r="C7" s="24" t="str">
        <x:v>S-001</x:v>
      </x:c>
      <x:c r="D7" s="24" t="str">
        <x:v>M-002</x:v>
      </x:c>
      <x:c r="E7" s="24" t="str">
        <x:v>E-001</x:v>
      </x:c>
      <x:c r="F7" s="24" t="str">
        <x:v>Débito</x:v>
      </x:c>
      <x:c r="G7" s="31" t="n">
        <x:f>SUMIFS('Detalle ventas'!$G$6:$G$200,'Detalle ventas'!$A$6:$A$200,$A7)</x:f>
        <x:v>85600</x:v>
      </x:c>
      <x:c r="H7" s="31" t="n">
        <x:v>0</x:v>
      </x:c>
      <x:c r="I7" s="31" t="n">
        <x:f>G7-H7</x:f>
        <x:v>85600</x:v>
      </x:c>
      <x:c r="J7" s="24" t="str">
        <x:v>Abonada</x:v>
      </x:c>
      <x:c r="K7" s="24" t="str">
        <x:v>OP-1002</x:v>
      </x:c>
      <x:c r="L7" s="25" t="str">
        <x:v>Compra Club</x:v>
      </x:c>
    </x:row>
    <x:row r="8" ht="15" hidden="0" customHeight="1">
      <x:c r="A8" s="23" t="str">
        <x:v>V-1003</x:v>
      </x:c>
      <x:c r="B8" s="41" t="n">
        <x:v>46275.88888888889</x:v>
      </x:c>
      <x:c r="C8" s="24" t="str">
        <x:v>S-001</x:v>
      </x:c>
      <x:c r="D8" s="24" t="str">
        <x:v>M-003</x:v>
      </x:c>
      <x:c r="E8" s="24" t="str">
        <x:v>E-002</x:v>
      </x:c>
      <x:c r="F8" s="24" t="str">
        <x:v>QR</x:v>
      </x:c>
      <x:c r="G8" s="31" t="n">
        <x:f>SUMIFS('Detalle ventas'!$G$6:$G$200,'Detalle ventas'!$A$6:$A$200,$A8)</x:f>
        <x:v>115900</x:v>
      </x:c>
      <x:c r="H8" s="31" t="n">
        <x:v>0</x:v>
      </x:c>
      <x:c r="I8" s="31" t="n">
        <x:f>G8-H8</x:f>
        <x:v>115900</x:v>
      </x:c>
      <x:c r="J8" s="24" t="str">
        <x:v>Abonada</x:v>
      </x:c>
      <x:c r="K8" s="24" t="str">
        <x:v>OP-1003</x:v>
      </x:c>
      <x:c r="L8" s="25" t="str">
        <x:v>Compra Club</x:v>
      </x:c>
    </x:row>
    <x:row r="9" ht="15" hidden="0" customHeight="1">
      <x:c r="A9" s="23" t="str">
        <x:v>V-1004</x:v>
      </x:c>
      <x:c r="B9" s="41" t="n">
        <x:v>46276.84375</x:v>
      </x:c>
      <x:c r="C9" s="24" t="str">
        <x:v>S-001</x:v>
      </x:c>
      <x:c r="D9" s="24" t="str"/>
      <x:c r="E9" s="24" t="str">
        <x:v>E-001</x:v>
      </x:c>
      <x:c r="F9" s="24" t="str">
        <x:v>Efectivo</x:v>
      </x:c>
      <x:c r="G9" s="31" t="n">
        <x:f>SUMIFS('Detalle ventas'!$G$6:$G$200,'Detalle ventas'!$A$6:$A$200,$A9)</x:f>
        <x:v>49500</x:v>
      </x:c>
      <x:c r="H9" s="31" t="n">
        <x:v>0</x:v>
      </x:c>
      <x:c r="I9" s="31" t="n">
        <x:f>G9-H9</x:f>
        <x:v>49500</x:v>
      </x:c>
      <x:c r="J9" s="24" t="str">
        <x:v>Abonada</x:v>
      </x:c>
      <x:c r="K9" s="24" t="str">
        <x:v>OP-1004</x:v>
      </x:c>
      <x:c r="L9" s="25" t="str">
        <x:v>Consumidor final</x:v>
      </x:c>
    </x:row>
    <x:row r="10" ht="15" hidden="0" customHeight="1">
      <x:c r="A10" s="26" t="str">
        <x:v>V-1005</x:v>
      </x:c>
      <x:c r="B10" s="42" t="n">
        <x:v>46277.53125</x:v>
      </x:c>
      <x:c r="C10" s="27" t="str">
        <x:v>S-001</x:v>
      </x:c>
      <x:c r="D10" s="27" t="str">
        <x:v>M-004</x:v>
      </x:c>
      <x:c r="E10" s="27" t="str">
        <x:v>E-002</x:v>
      </x:c>
      <x:c r="F10" s="27" t="str">
        <x:v>Crédito</x:v>
      </x:c>
      <x:c r="G10" s="37" t="n">
        <x:f>SUMIFS('Detalle ventas'!$G$6:$G$200,'Detalle ventas'!$A$6:$A$200,$A10)</x:f>
        <x:v>47400</x:v>
      </x:c>
      <x:c r="H10" s="37" t="n">
        <x:v>0</x:v>
      </x:c>
      <x:c r="I10" s="37" t="n">
        <x:f>G10-H10</x:f>
        <x:v>47400</x:v>
      </x:c>
      <x:c r="J10" s="27" t="str">
        <x:v>Abonada</x:v>
      </x:c>
      <x:c r="K10" s="27" t="str">
        <x:v>OP-1005</x:v>
      </x:c>
      <x:c r="L10" s="28" t="str">
        <x:v>Compra Club</x:v>
      </x:c>
    </x:row>
  </x:sheetData>
  <x:dataValidations count="2">
    <x:dataValidation type="list" sqref="F6:F200">
      <x:formula1>"Efectivo,Débito,Crédito,QR,Transferencia"</x:formula1>
    </x:dataValidation>
    <x:dataValidation type="list" sqref="J6:J200">
      <x:formula1>"Abonada,Anulada,Pendiente"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362811548d436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</x:cols>
  <x:sheetData>
    <x:row r="1" ht="12" customHeight="1"/>
    <x:row r="2" ht="15" hidden="0" customHeight="1">
      <x:c r="A2" s="68" t="str">
        <x:v>Detalle de ventas</x:v>
      </x:c>
      <x:c r="B2" s="82"/>
      <x:c r="C2" s="82"/>
      <x:c r="D2" s="82"/>
      <x:c r="E2" s="82"/>
      <x:c r="F2" s="82"/>
      <x:c r="G2" s="82"/>
      <x:c r="H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</x:row>
    <x:row r="5" ht="15" hidden="0" customHeight="1">
      <x:c r="A5" s="81" t="str">
        <x:v>ID venta</x:v>
      </x:c>
      <x:c r="B5" s="81" t="str">
        <x:v>Línea</x:v>
      </x:c>
      <x:c r="C5" s="81" t="str">
        <x:v>ID producto</x:v>
      </x:c>
      <x:c r="D5" s="81" t="str">
        <x:v>Producto</x:v>
      </x:c>
      <x:c r="E5" s="81" t="str">
        <x:v>Cantidad</x:v>
      </x:c>
      <x:c r="F5" s="81" t="str">
        <x:v>Precio unit.</x:v>
      </x:c>
      <x:c r="G5" s="81" t="str">
        <x:v>Subtotal</x:v>
      </x:c>
      <x:c r="H5" s="81" t="str">
        <x:v>Nota</x:v>
      </x:c>
    </x:row>
    <x:row r="6" ht="15" hidden="0" customHeight="1">
      <x:c r="A6" s="20" t="str">
        <x:v>V-1001</x:v>
      </x:c>
      <x:c r="B6" s="21" t="n">
        <x:v>1</x:v>
      </x:c>
      <x:c r="C6" s="21" t="str">
        <x:v>PRD-004</x:v>
      </x:c>
      <x:c r="D6" s="21" t="str">
        <x:v>Cappuccino</x:v>
      </x:c>
      <x:c r="E6" s="21" t="n">
        <x:v>6</x:v>
      </x:c>
      <x:c r="F6" s="36" t="n">
        <x:v>5200</x:v>
      </x:c>
      <x:c r="G6" s="36" t="n">
        <x:f>E6*F6</x:f>
        <x:v>31200</x:v>
      </x:c>
      <x:c r="H6" s="22" t="str"/>
    </x:row>
    <x:row r="7" ht="15" hidden="0" customHeight="1">
      <x:c r="A7" s="23" t="str">
        <x:v>V-1001</x:v>
      </x:c>
      <x:c r="B7" s="24" t="n">
        <x:v>2</x:v>
      </x:c>
      <x:c r="C7" s="24" t="str">
        <x:v>PRD-009</x:v>
      </x:c>
      <x:c r="D7" s="24" t="str">
        <x:v>Chipa</x:v>
      </x:c>
      <x:c r="E7" s="24" t="n">
        <x:v>4</x:v>
      </x:c>
      <x:c r="F7" s="31" t="n">
        <x:v>4800</x:v>
      </x:c>
      <x:c r="G7" s="31" t="n">
        <x:f>E7*F7</x:f>
        <x:v>19200</x:v>
      </x:c>
      <x:c r="H7" s="25" t="str"/>
    </x:row>
    <x:row r="8" ht="15" hidden="0" customHeight="1">
      <x:c r="A8" s="23" t="str">
        <x:v>V-1001</x:v>
      </x:c>
      <x:c r="B8" s="24" t="n">
        <x:v>3</x:v>
      </x:c>
      <x:c r="C8" s="24" t="str">
        <x:v>PRD-010</x:v>
      </x:c>
      <x:c r="D8" s="24" t="str">
        <x:v>Medialuna</x:v>
      </x:c>
      <x:c r="E8" s="24" t="n">
        <x:v>3</x:v>
      </x:c>
      <x:c r="F8" s="31" t="n">
        <x:v>4500</x:v>
      </x:c>
      <x:c r="G8" s="31" t="n">
        <x:f>E8*F8</x:f>
        <x:v>13500</x:v>
      </x:c>
      <x:c r="H8" s="25" t="str"/>
    </x:row>
    <x:row r="9" ht="15" hidden="0" customHeight="1">
      <x:c r="A9" s="23" t="str">
        <x:v>V-1002</x:v>
      </x:c>
      <x:c r="B9" s="24" t="n">
        <x:v>1</x:v>
      </x:c>
      <x:c r="C9" s="24" t="str">
        <x:v>PRD-005</x:v>
      </x:c>
      <x:c r="D9" s="24" t="str">
        <x:v>Latte</x:v>
      </x:c>
      <x:c r="E9" s="24" t="n">
        <x:v>8</x:v>
      </x:c>
      <x:c r="F9" s="31" t="n">
        <x:v>5200</x:v>
      </x:c>
      <x:c r="G9" s="31" t="n">
        <x:f>E9*F9</x:f>
        <x:v>41600</x:v>
      </x:c>
      <x:c r="H9" s="25" t="str"/>
    </x:row>
    <x:row r="10" ht="15" hidden="0" customHeight="1">
      <x:c r="A10" s="23" t="str">
        <x:v>V-1002</x:v>
      </x:c>
      <x:c r="B10" s="24" t="n">
        <x:v>2</x:v>
      </x:c>
      <x:c r="C10" s="24" t="str">
        <x:v>PRD-011</x:v>
      </x:c>
      <x:c r="D10" s="24" t="str">
        <x:v>Cookie</x:v>
      </x:c>
      <x:c r="E10" s="24" t="n">
        <x:v>5</x:v>
      </x:c>
      <x:c r="F10" s="31" t="n">
        <x:v>5000</x:v>
      </x:c>
      <x:c r="G10" s="31" t="n">
        <x:f>E10*F10</x:f>
        <x:v>25000</x:v>
      </x:c>
      <x:c r="H10" s="25" t="str"/>
    </x:row>
    <x:row r="11" ht="15" hidden="0" customHeight="1">
      <x:c r="A11" s="23" t="str">
        <x:v>V-1002</x:v>
      </x:c>
      <x:c r="B11" s="24" t="n">
        <x:v>3</x:v>
      </x:c>
      <x:c r="C11" s="24" t="str">
        <x:v>PRD-012</x:v>
      </x:c>
      <x:c r="D11" s="24" t="str">
        <x:v>Café molido 250 g</x:v>
      </x:c>
      <x:c r="E11" s="24" t="n">
        <x:v>2</x:v>
      </x:c>
      <x:c r="F11" s="31" t="n">
        <x:v>9500</x:v>
      </x:c>
      <x:c r="G11" s="31" t="n">
        <x:f>E11*F11</x:f>
        <x:v>19000</x:v>
      </x:c>
      <x:c r="H11" s="25" t="str"/>
    </x:row>
    <x:row r="12" ht="15" hidden="0" customHeight="1">
      <x:c r="A12" s="23" t="str">
        <x:v>V-1003</x:v>
      </x:c>
      <x:c r="B12" s="24" t="n">
        <x:v>1</x:v>
      </x:c>
      <x:c r="C12" s="24" t="str">
        <x:v>PRD-007</x:v>
      </x:c>
      <x:c r="D12" s="24" t="str">
        <x:v>Mocha</x:v>
      </x:c>
      <x:c r="E12" s="24" t="n">
        <x:v>9</x:v>
      </x:c>
      <x:c r="F12" s="31" t="n">
        <x:v>5500</x:v>
      </x:c>
      <x:c r="G12" s="31" t="n">
        <x:f>E12*F12</x:f>
        <x:v>49500</x:v>
      </x:c>
      <x:c r="H12" s="25" t="str"/>
    </x:row>
    <x:row r="13" ht="15" hidden="0" customHeight="1">
      <x:c r="A13" s="23" t="str">
        <x:v>V-1003</x:v>
      </x:c>
      <x:c r="B13" s="24" t="n">
        <x:v>2</x:v>
      </x:c>
      <x:c r="C13" s="24" t="str">
        <x:v>PRD-008</x:v>
      </x:c>
      <x:c r="D13" s="24" t="str">
        <x:v>Chai Latte</x:v>
      </x:c>
      <x:c r="E13" s="24" t="n">
        <x:v>8</x:v>
      </x:c>
      <x:c r="F13" s="31" t="n">
        <x:v>5300</x:v>
      </x:c>
      <x:c r="G13" s="31" t="n">
        <x:f>E13*F13</x:f>
        <x:v>42400</x:v>
      </x:c>
      <x:c r="H13" s="25" t="str"/>
    </x:row>
    <x:row r="14" ht="15" hidden="0" customHeight="1">
      <x:c r="A14" s="23" t="str">
        <x:v>V-1003</x:v>
      </x:c>
      <x:c r="B14" s="24" t="n">
        <x:v>3</x:v>
      </x:c>
      <x:c r="C14" s="24" t="str">
        <x:v>PRD-009</x:v>
      </x:c>
      <x:c r="D14" s="24" t="str">
        <x:v>Chipa</x:v>
      </x:c>
      <x:c r="E14" s="24" t="n">
        <x:v>5</x:v>
      </x:c>
      <x:c r="F14" s="31" t="n">
        <x:v>4800</x:v>
      </x:c>
      <x:c r="G14" s="31" t="n">
        <x:f>E14*F14</x:f>
        <x:v>24000</x:v>
      </x:c>
      <x:c r="H14" s="25" t="str"/>
    </x:row>
    <x:row r="15" ht="15" hidden="0" customHeight="1">
      <x:c r="A15" s="23" t="str">
        <x:v>V-1004</x:v>
      </x:c>
      <x:c r="B15" s="24" t="n">
        <x:v>1</x:v>
      </x:c>
      <x:c r="C15" s="24" t="str">
        <x:v>PRD-001</x:v>
      </x:c>
      <x:c r="D15" s="24" t="str">
        <x:v>Espresso</x:v>
      </x:c>
      <x:c r="E15" s="24" t="n">
        <x:v>7</x:v>
      </x:c>
      <x:c r="F15" s="31" t="n">
        <x:v>4500</x:v>
      </x:c>
      <x:c r="G15" s="31" t="n">
        <x:f>E15*F15</x:f>
        <x:v>31500</x:v>
      </x:c>
      <x:c r="H15" s="25" t="str"/>
    </x:row>
    <x:row r="16" ht="15" hidden="0" customHeight="1">
      <x:c r="A16" s="23" t="str">
        <x:v>V-1004</x:v>
      </x:c>
      <x:c r="B16" s="24" t="n">
        <x:v>2</x:v>
      </x:c>
      <x:c r="C16" s="24" t="str">
        <x:v>PRD-010</x:v>
      </x:c>
      <x:c r="D16" s="24" t="str">
        <x:v>Medialuna</x:v>
      </x:c>
      <x:c r="E16" s="24" t="n">
        <x:v>4</x:v>
      </x:c>
      <x:c r="F16" s="31" t="n">
        <x:v>4500</x:v>
      </x:c>
      <x:c r="G16" s="31" t="n">
        <x:f>E16*F16</x:f>
        <x:v>18000</x:v>
      </x:c>
      <x:c r="H16" s="25" t="str"/>
    </x:row>
    <x:row r="17" ht="15" hidden="0" customHeight="1">
      <x:c r="A17" s="23" t="str">
        <x:v>V-1005</x:v>
      </x:c>
      <x:c r="B17" s="24" t="n">
        <x:v>1</x:v>
      </x:c>
      <x:c r="C17" s="24" t="str">
        <x:v>PRD-006</x:v>
      </x:c>
      <x:c r="D17" s="24" t="str">
        <x:v>Flat White</x:v>
      </x:c>
      <x:c r="E17" s="24" t="n">
        <x:v>6</x:v>
      </x:c>
      <x:c r="F17" s="31" t="n">
        <x:v>5400</x:v>
      </x:c>
      <x:c r="G17" s="31" t="n">
        <x:f>E17*F17</x:f>
        <x:v>32400</x:v>
      </x:c>
      <x:c r="H17" s="25" t="str"/>
    </x:row>
    <x:row r="18" ht="15" hidden="0" customHeight="1">
      <x:c r="A18" s="26" t="str">
        <x:v>V-1005</x:v>
      </x:c>
      <x:c r="B18" s="27" t="n">
        <x:v>2</x:v>
      </x:c>
      <x:c r="C18" s="27" t="str">
        <x:v>PRD-011</x:v>
      </x:c>
      <x:c r="D18" s="27" t="str">
        <x:v>Cookie</x:v>
      </x:c>
      <x:c r="E18" s="27" t="n">
        <x:v>3</x:v>
      </x:c>
      <x:c r="F18" s="37" t="n">
        <x:v>5000</x:v>
      </x:c>
      <x:c r="G18" s="37" t="n">
        <x:f>E18*F18</x:f>
        <x:v>15000</x:v>
      </x:c>
      <x:c r="H18" s="28" t="str"/>
    </x:row>
  </x:sheetData>
  <x:pageMargins left="0.7" right="0.7" top="0.75" bottom="0.75" header="0.3" footer="0.3"/>
  <x:tableParts count="1">
    <x:tablePart xmlns:r="http://schemas.openxmlformats.org/officeDocument/2006/relationships" r:id="R85f5e9e8ec9f4ce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8" hidden="0" customWidth="1"/>
    <x:col min="5" max="5" width="14" hidden="0" customWidth="1"/>
    <x:col min="6" max="6" width="16" hidden="0" customWidth="1"/>
    <x:col min="7" max="7" width="16" hidden="0" customWidth="1"/>
    <x:col min="8" max="8" width="15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  <x:col min="14" max="14" width="24" hidden="0" customWidth="1"/>
  </x:cols>
  <x:sheetData>
    <x:row r="1" ht="12" customHeight="1"/>
    <x:row r="2" ht="15" hidden="0" customHeight="1">
      <x:c r="A2" s="68" t="str">
        <x:v>Socios Ramax Café Club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</x:row>
    <x:row r="5" ht="15" hidden="0" customHeight="1">
      <x:c r="A5" s="81" t="str">
        <x:v>ID socio</x:v>
      </x:c>
      <x:c r="B5" s="81" t="str">
        <x:v>Nombre</x:v>
      </x:c>
      <x:c r="C5" s="81" t="str">
        <x:v>Teléfono</x:v>
      </x:c>
      <x:c r="D5" s="81" t="str">
        <x:v>Email</x:v>
      </x:c>
      <x:c r="E5" s="81" t="str">
        <x:v>Nacimiento</x:v>
      </x:c>
      <x:c r="F5" s="81" t="str">
        <x:v>Estado</x:v>
      </x:c>
      <x:c r="G5" s="81" t="str">
        <x:v>Identificador QR</x:v>
      </x:c>
      <x:c r="H5" s="81" t="str">
        <x:v>Alta</x:v>
      </x:c>
      <x:c r="I5" s="81" t="str">
        <x:v>Saldo puntos</x:v>
      </x:c>
      <x:c r="J5" s="81" t="str">
        <x:v>Visitas</x:v>
      </x:c>
      <x:c r="K5" s="81" t="str">
        <x:v>Canjes</x:v>
      </x:c>
      <x:c r="L5" s="81" t="str">
        <x:v>Última visita</x:v>
      </x:c>
      <x:c r="M5" s="81" t="str">
        <x:v>Términos</x:v>
      </x:c>
      <x:c r="N5" s="81" t="str">
        <x:v>Nota</x:v>
      </x:c>
    </x:row>
    <x:row r="6" ht="15" hidden="0" customHeight="1">
      <x:c r="A6" s="20" t="str">
        <x:v>M-001</x:v>
      </x:c>
      <x:c r="B6" s="21" t="str">
        <x:v>Ana Torres</x:v>
      </x:c>
      <x:c r="C6" s="21" t="str">
        <x:v>2664-111111</x:v>
      </x:c>
      <x:c r="D6" s="21" t="str">
        <x:v>ana.torres@mail.com</x:v>
      </x:c>
      <x:c r="E6" s="29" t="n">
        <x:v>34468</x:v>
      </x:c>
      <x:c r="F6" s="21" t="str">
        <x:v>Activo</x:v>
      </x:c>
      <x:c r="G6" s="21" t="str">
        <x:v>QR-RAMAX-7K4P</x:v>
      </x:c>
      <x:c r="H6" s="29" t="n">
        <x:v>46266</x:v>
      </x:c>
      <x:c r="I6" s="21" t="n">
        <x:f>SUMIFS('Mov. puntos'!$F$6:$F$200,'Mov. puntos'!$C$6:$C$200,$A6,'Mov. puntos'!$J$6:$J$200,"Confirmado")</x:f>
        <x:v>839</x:v>
      </x:c>
      <x:c r="J6" s="21" t="n">
        <x:f>COUNTIFS('Ventas'!$D$6:$D$200,$A6,'Ventas'!$J$6:$J$200,"Abonada")</x:f>
        <x:v>1</x:v>
      </x:c>
      <x:c r="K6" s="21" t="n">
        <x:f>COUNTIFS('Recompensas y canjes'!$H$6:$H$200,$A6,'Recompensas y canjes'!$K$6:$K$200,"Validado")</x:f>
        <x:v>0</x:v>
      </x:c>
      <x:c r="L6" s="40" t="n">
        <x:f>IF(J6=0,"",MAXIFS('Ventas'!$B$6:$B$200,'Ventas'!$D$6:$D$200,$A6,'Ventas'!$J$6:$J$200,"Abonada"))</x:f>
        <x:v>46271.552083333336</x:v>
      </x:c>
      <x:c r="M6" s="21" t="str">
        <x:v>Sí</x:v>
      </x:c>
      <x:c r="N6" s="22" t="str">
        <x:v>Cliente frecuente</x:v>
      </x:c>
    </x:row>
    <x:row r="7" ht="15" hidden="0" customHeight="1">
      <x:c r="A7" s="23" t="str">
        <x:v>M-002</x:v>
      </x:c>
      <x:c r="B7" s="24" t="str">
        <x:v>Bruno Díaz</x:v>
      </x:c>
      <x:c r="C7" s="24" t="str">
        <x:v>2664-222222</x:v>
      </x:c>
      <x:c r="D7" s="24" t="str">
        <x:v>bruno.diaz@mail.com</x:v>
      </x:c>
      <x:c r="E7" s="43" t="n">
        <x:v>32377</x:v>
      </x:c>
      <x:c r="F7" s="24" t="str">
        <x:v>Activo</x:v>
      </x:c>
      <x:c r="G7" s="24" t="str">
        <x:v>QR-RAMAX-9X2M</x:v>
      </x:c>
      <x:c r="H7" s="43" t="n">
        <x:v>46267</x:v>
      </x:c>
      <x:c r="I7" s="24" t="n">
        <x:f>SUMIFS('Mov. puntos'!$F$6:$F$200,'Mov. puntos'!$C$6:$C$200,$A7,'Mov. puntos'!$J$6:$J$200,"Confirmado")</x:f>
        <x:v>356</x:v>
      </x:c>
      <x:c r="J7" s="24" t="n">
        <x:f>COUNTIFS('Ventas'!$D$6:$D$200,$A7,'Ventas'!$J$6:$J$200,"Abonada")</x:f>
        <x:v>1</x:v>
      </x:c>
      <x:c r="K7" s="24" t="n">
        <x:f>COUNTIFS('Recompensas y canjes'!$H$6:$H$200,$A7,'Recompensas y canjes'!$K$6:$K$200,"Validado")</x:f>
        <x:v>1</x:v>
      </x:c>
      <x:c r="L7" s="41" t="n">
        <x:f>IF(J7=0,"",MAXIFS('Ventas'!$B$6:$B$200,'Ventas'!$D$6:$D$200,$A7,'Ventas'!$J$6:$J$200,"Abonada"))</x:f>
        <x:v>46273.65277777778</x:v>
      </x:c>
      <x:c r="M7" s="24" t="str">
        <x:v>Sí</x:v>
      </x:c>
      <x:c r="N7" s="25" t="str">
        <x:v>Prefiere latte</x:v>
      </x:c>
    </x:row>
    <x:row r="8" ht="15" hidden="0" customHeight="1">
      <x:c r="A8" s="23" t="str">
        <x:v>M-003</x:v>
      </x:c>
      <x:c r="B8" s="24" t="str">
        <x:v>Carla Vega</x:v>
      </x:c>
      <x:c r="C8" s="24" t="str">
        <x:v>2664-333333</x:v>
      </x:c>
      <x:c r="D8" s="24" t="str">
        <x:v>carla.vega@mail.com</x:v>
      </x:c>
      <x:c r="E8" s="43" t="n">
        <x:v>35737</x:v>
      </x:c>
      <x:c r="F8" s="24" t="str">
        <x:v>Activo</x:v>
      </x:c>
      <x:c r="G8" s="24" t="str">
        <x:v>QR-RAMAX-3J8Q</x:v>
      </x:c>
      <x:c r="H8" s="43" t="n">
        <x:v>46268</x:v>
      </x:c>
      <x:c r="I8" s="24" t="n">
        <x:f>SUMIFS('Mov. puntos'!$F$6:$F$200,'Mov. puntos'!$C$6:$C$200,$A8,'Mov. puntos'!$J$6:$J$200,"Confirmado")</x:f>
        <x:v>1259</x:v>
      </x:c>
      <x:c r="J8" s="24" t="n">
        <x:f>COUNTIFS('Ventas'!$D$6:$D$200,$A8,'Ventas'!$J$6:$J$200,"Abonada")</x:f>
        <x:v>1</x:v>
      </x:c>
      <x:c r="K8" s="24" t="n">
        <x:f>COUNTIFS('Recompensas y canjes'!$H$6:$H$200,$A8,'Recompensas y canjes'!$K$6:$K$200,"Validado")</x:f>
        <x:v>0</x:v>
      </x:c>
      <x:c r="L8" s="41" t="n">
        <x:f>IF(J8=0,"",MAXIFS('Ventas'!$B$6:$B$200,'Ventas'!$D$6:$D$200,$A8,'Ventas'!$J$6:$J$200,"Abonada"))</x:f>
        <x:v>46275.88888888889</x:v>
      </x:c>
      <x:c r="M8" s="24" t="str">
        <x:v>Sí</x:v>
      </x:c>
      <x:c r="N8" s="25" t="str">
        <x:v>Sin lácteos</x:v>
      </x:c>
    </x:row>
    <x:row r="9" ht="15" hidden="0" customHeight="1">
      <x:c r="A9" s="23" t="str">
        <x:v>M-004</x:v>
      </x:c>
      <x:c r="B9" s="24" t="str">
        <x:v>Diego Ruiz</x:v>
      </x:c>
      <x:c r="C9" s="24" t="str">
        <x:v>2664-444444</x:v>
      </x:c>
      <x:c r="D9" s="24" t="str">
        <x:v>diego.ruiz@mail.com</x:v>
      </x:c>
      <x:c r="E9" s="43" t="n">
        <x:v>32932</x:v>
      </x:c>
      <x:c r="F9" s="24" t="str">
        <x:v>Activo</x:v>
      </x:c>
      <x:c r="G9" s="24" t="str">
        <x:v>QR-RAMAX-6T1N</x:v>
      </x:c>
      <x:c r="H9" s="43" t="n">
        <x:v>46269</x:v>
      </x:c>
      <x:c r="I9" s="24" t="n">
        <x:f>SUMIFS('Mov. puntos'!$F$6:$F$200,'Mov. puntos'!$C$6:$C$200,$A9,'Mov. puntos'!$J$6:$J$200,"Confirmado")</x:f>
        <x:v>474</x:v>
      </x:c>
      <x:c r="J9" s="24" t="n">
        <x:f>COUNTIFS('Ventas'!$D$6:$D$200,$A9,'Ventas'!$J$6:$J$200,"Abonada")</x:f>
        <x:v>1</x:v>
      </x:c>
      <x:c r="K9" s="24" t="n">
        <x:f>COUNTIFS('Recompensas y canjes'!$H$6:$H$200,$A9,'Recompensas y canjes'!$K$6:$K$200,"Validado")</x:f>
        <x:v>0</x:v>
      </x:c>
      <x:c r="L9" s="41" t="n">
        <x:f>IF(J9=0,"",MAXIFS('Ventas'!$B$6:$B$200,'Ventas'!$D$6:$D$200,$A9,'Ventas'!$J$6:$J$200,"Abonada"))</x:f>
        <x:v>46277.53125</x:v>
      </x:c>
      <x:c r="M9" s="24" t="str">
        <x:v>Sí</x:v>
      </x:c>
      <x:c r="N9" s="25" t="str">
        <x:v>Nuevo socio</x:v>
      </x:c>
    </x:row>
    <x:row r="10" ht="15" hidden="0" customHeight="1">
      <x:c r="A10" s="26" t="str">
        <x:v>M-005</x:v>
      </x:c>
      <x:c r="B10" s="27" t="str">
        <x:v>Elena Paredes</x:v>
      </x:c>
      <x:c r="C10" s="27" t="str">
        <x:v>2664-555555</x:v>
      </x:c>
      <x:c r="D10" s="27" t="str">
        <x:v>elena.paredes@mail.com</x:v>
      </x:c>
      <x:c r="E10" s="44" t="n">
        <x:v>31298</x:v>
      </x:c>
      <x:c r="F10" s="27" t="str">
        <x:v>Pausado</x:v>
      </x:c>
      <x:c r="G10" s="27" t="str">
        <x:v>QR-RAMAX-0F5A</x:v>
      </x:c>
      <x:c r="H10" s="44" t="n">
        <x:v>46270</x:v>
      </x:c>
      <x:c r="I10" s="27" t="n">
        <x:f>SUMIFS('Mov. puntos'!$F$6:$F$200,'Mov. puntos'!$C$6:$C$200,$A10,'Mov. puntos'!$J$6:$J$200,"Confirmado")</x:f>
        <x:v>0</x:v>
      </x:c>
      <x:c r="J10" s="27" t="n">
        <x:f>COUNTIFS('Ventas'!$D$6:$D$200,$A10,'Ventas'!$J$6:$J$200,"Abonada")</x:f>
        <x:v>0</x:v>
      </x:c>
      <x:c r="K10" s="27" t="n">
        <x:f>COUNTIFS('Recompensas y canjes'!$H$6:$H$200,$A10,'Recompensas y canjes'!$K$6:$K$200,"Validado")</x:f>
        <x:v>0</x:v>
      </x:c>
      <x:c r="L10" s="42" t="str">
        <x:f>IF(J10=0,"",MAXIFS('Ventas'!$B$6:$B$200,'Ventas'!$D$6:$D$200,$A10,'Ventas'!$J$6:$J$200,"Abonada"))</x:f>
      </x:c>
      <x:c r="M10" s="27" t="str">
        <x:v>No</x:v>
      </x:c>
      <x:c r="N10" s="28" t="str">
        <x:v>Contacto desuscripto</x:v>
      </x:c>
    </x:row>
  </x:sheetData>
  <x:dataValidations count="2">
    <x:dataValidation type="list" sqref="F6:F200">
      <x:formula1>"Activo,Pausado,Baja"</x:formula1>
    </x:dataValidation>
    <x:dataValidation type="list" sqref="M6:M2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d6ea13693d4df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8" hidden="0" customWidth="1"/>
    <x:col min="5" max="5" width="22" hidden="0" customWidth="1"/>
    <x:col min="6" max="6" width="14" hidden="0" customWidth="1"/>
    <x:col min="7" max="7" width="16" hidden="0" customWidth="1"/>
    <x:col min="8" max="8" width="18" hidden="0" customWidth="1"/>
    <x:col min="9" max="9" width="18" hidden="0" customWidth="1"/>
    <x:col min="10" max="10" width="14" hidden="0" customWidth="1"/>
    <x:col min="11" max="11" width="16" hidden="0" customWidth="1"/>
    <x:col min="12" max="12" width="28" hidden="0" customWidth="1"/>
  </x:cols>
  <x:sheetData>
    <x:row r="1" ht="12" customHeight="1"/>
    <x:row r="2" ht="15" hidden="0" customHeight="1">
      <x:c r="A2" s="68" t="str">
        <x:v>Libro auditable de puntos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</x:row>
    <x:row r="5" ht="15" hidden="0" customHeight="1">
      <x:c r="A5" s="81" t="str">
        <x:v>ID mov.</x:v>
      </x:c>
      <x:c r="B5" s="81" t="str">
        <x:v>Fecha y hora</x:v>
      </x:c>
      <x:c r="C5" s="81" t="str">
        <x:v>ID socio</x:v>
      </x:c>
      <x:c r="D5" s="81" t="str">
        <x:v>Tipo</x:v>
      </x:c>
      <x:c r="E5" s="81" t="str">
        <x:v>Concepto</x:v>
      </x:c>
      <x:c r="F5" s="81" t="str">
        <x:v>Puntos</x:v>
      </x:c>
      <x:c r="G5" s="81" t="str">
        <x:v>Referencia</x:v>
      </x:c>
      <x:c r="H5" s="81" t="str">
        <x:v>ID operación</x:v>
      </x:c>
      <x:c r="I5" s="81" t="str">
        <x:v>Empleado</x:v>
      </x:c>
      <x:c r="J5" s="81" t="str">
        <x:v>Estado</x:v>
      </x:c>
      <x:c r="K5" s="81" t="str">
        <x:v>Saldo posterior</x:v>
      </x:c>
      <x:c r="L5" s="81" t="str">
        <x:v>Motivo / regla</x:v>
      </x:c>
    </x:row>
    <x:row r="6" ht="15" hidden="0" customHeight="1">
      <x:c r="A6" s="20" t="str">
        <x:v>PT-001</x:v>
      </x:c>
      <x:c r="B6" s="40" t="n">
        <x:v>46271.552777777775</x:v>
      </x:c>
      <x:c r="C6" s="21" t="str">
        <x:v>M-001</x:v>
      </x:c>
      <x:c r="D6" s="21" t="str">
        <x:v>Compra</x:v>
      </x:c>
      <x:c r="E6" s="21" t="str">
        <x:v>Compra V-1001</x:v>
      </x:c>
      <x:c r="F6" s="21" t="n">
        <x:v>639</x:v>
      </x:c>
      <x:c r="G6" s="21" t="str">
        <x:v>V-1001</x:v>
      </x:c>
      <x:c r="H6" s="21" t="str">
        <x:v>OP-1001</x:v>
      </x:c>
      <x:c r="I6" s="21" t="str">
        <x:v>E-002</x:v>
      </x:c>
      <x:c r="J6" s="21" t="str">
        <x:v>Confirmado</x:v>
      </x:c>
      <x:c r="K6" s="21" t="n">
        <x:f>SUMIFS($F$6:$F$200,$C$6:$C$200,$C6,$B$6:$B$200,"&lt;="&amp;$B6,$J$6:$J$200,"Confirmado")</x:f>
        <x:v>639</x:v>
      </x:c>
      <x:c r="L6" s="22" t="str">
        <x:v>1 punto por cada $100</x:v>
      </x:c>
    </x:row>
    <x:row r="7" ht="15" hidden="0" customHeight="1">
      <x:c r="A7" s="23" t="str">
        <x:v>PT-002</x:v>
      </x:c>
      <x:c r="B7" s="41" t="n">
        <x:v>46273.65347222222</x:v>
      </x:c>
      <x:c r="C7" s="24" t="str">
        <x:v>M-002</x:v>
      </x:c>
      <x:c r="D7" s="24" t="str">
        <x:v>Compra</x:v>
      </x:c>
      <x:c r="E7" s="24" t="str">
        <x:v>Compra V-1002</x:v>
      </x:c>
      <x:c r="F7" s="24" t="n">
        <x:v>856</x:v>
      </x:c>
      <x:c r="G7" s="24" t="str">
        <x:v>V-1002</x:v>
      </x:c>
      <x:c r="H7" s="24" t="str">
        <x:v>OP-1002</x:v>
      </x:c>
      <x:c r="I7" s="24" t="str">
        <x:v>E-001</x:v>
      </x:c>
      <x:c r="J7" s="24" t="str">
        <x:v>Confirmado</x:v>
      </x:c>
      <x:c r="K7" s="24" t="n">
        <x:f>SUMIFS($F$6:$F$200,$C$6:$C$200,$C7,$B$6:$B$200,"&lt;="&amp;$B7,$J$6:$J$200,"Confirmado")</x:f>
        <x:v>856</x:v>
      </x:c>
      <x:c r="L7" s="25" t="str">
        <x:v>1 punto por cada $100</x:v>
      </x:c>
    </x:row>
    <x:row r="8" ht="15" hidden="0" customHeight="1">
      <x:c r="A8" s="23" t="str">
        <x:v>PT-003</x:v>
      </x:c>
      <x:c r="B8" s="41" t="n">
        <x:v>46275.88958333333</x:v>
      </x:c>
      <x:c r="C8" s="24" t="str">
        <x:v>M-003</x:v>
      </x:c>
      <x:c r="D8" s="24" t="str">
        <x:v>Compra</x:v>
      </x:c>
      <x:c r="E8" s="24" t="str">
        <x:v>Compra V-1003</x:v>
      </x:c>
      <x:c r="F8" s="24" t="n">
        <x:v>1159</x:v>
      </x:c>
      <x:c r="G8" s="24" t="str">
        <x:v>V-1003</x:v>
      </x:c>
      <x:c r="H8" s="24" t="str">
        <x:v>OP-1003</x:v>
      </x:c>
      <x:c r="I8" s="24" t="str">
        <x:v>E-002</x:v>
      </x:c>
      <x:c r="J8" s="24" t="str">
        <x:v>Confirmado</x:v>
      </x:c>
      <x:c r="K8" s="24" t="n">
        <x:f>SUMIFS($F$6:$F$200,$C$6:$C$200,$C8,$B$6:$B$200,"&lt;="&amp;$B8,$J$6:$J$200,"Confirmado")</x:f>
        <x:v>1159</x:v>
      </x:c>
      <x:c r="L8" s="25" t="str">
        <x:v>1 punto por cada $100</x:v>
      </x:c>
    </x:row>
    <x:row r="9" ht="15" hidden="0" customHeight="1">
      <x:c r="A9" s="23" t="str">
        <x:v>PT-004</x:v>
      </x:c>
      <x:c r="B9" s="41" t="n">
        <x:v>46276.583333333336</x:v>
      </x:c>
      <x:c r="C9" s="24" t="str">
        <x:v>M-001</x:v>
      </x:c>
      <x:c r="D9" s="24" t="str">
        <x:v>Campaña</x:v>
      </x:c>
      <x:c r="E9" s="24" t="str">
        <x:v>Café escondido</x:v>
      </x:c>
      <x:c r="F9" s="24" t="n">
        <x:v>200</x:v>
      </x:c>
      <x:c r="G9" s="24" t="str">
        <x:v>CAM-001</x:v>
      </x:c>
      <x:c r="H9" s="24" t="str">
        <x:v>QR-001</x:v>
      </x:c>
      <x:c r="I9" s="24" t="str">
        <x:v>E-001</x:v>
      </x:c>
      <x:c r="J9" s="24" t="str">
        <x:v>Confirmado</x:v>
      </x:c>
      <x:c r="K9" s="24" t="n">
        <x:f>SUMIFS($F$6:$F$200,$C$6:$C$200,$C9,$B$6:$B$200,"&lt;="&amp;$B9,$J$6:$J$200,"Confirmado")</x:f>
        <x:v>839</x:v>
      </x:c>
      <x:c r="L9" s="25" t="str">
        <x:v>QR individual reclamado una vez</x:v>
      </x:c>
    </x:row>
    <x:row r="10" ht="15" hidden="0" customHeight="1">
      <x:c r="A10" s="23" t="str">
        <x:v>PT-005</x:v>
      </x:c>
      <x:c r="B10" s="41" t="n">
        <x:v>46276.822916666664</x:v>
      </x:c>
      <x:c r="C10" s="24" t="str">
        <x:v>M-002</x:v>
      </x:c>
      <x:c r="D10" s="24" t="str">
        <x:v>Canje</x:v>
      </x:c>
      <x:c r="E10" s="24" t="str">
        <x:v>Cookie de regalo</x:v>
      </x:c>
      <x:c r="F10" s="24" t="n">
        <x:v>-500</x:v>
      </x:c>
      <x:c r="G10" s="24" t="str">
        <x:v>RJ-001</x:v>
      </x:c>
      <x:c r="H10" s="24" t="str">
        <x:v>CAN-001</x:v>
      </x:c>
      <x:c r="I10" s="24" t="str">
        <x:v>E-001</x:v>
      </x:c>
      <x:c r="J10" s="24" t="str">
        <x:v>Confirmado</x:v>
      </x:c>
      <x:c r="K10" s="24" t="n">
        <x:f>SUMIFS($F$6:$F$200,$C$6:$C$200,$C10,$B$6:$B$200,"&lt;="&amp;$B10,$J$6:$J$200,"Confirmado")</x:f>
        <x:v>356</x:v>
      </x:c>
      <x:c r="L10" s="25" t="str">
        <x:v>Canje confirmado</x:v>
      </x:c>
    </x:row>
    <x:row r="11" ht="15" hidden="0" customHeight="1">
      <x:c r="A11" s="23" t="str">
        <x:v>PT-006</x:v>
      </x:c>
      <x:c r="B11" s="41" t="n">
        <x:v>46277.53194444445</x:v>
      </x:c>
      <x:c r="C11" s="24" t="str">
        <x:v>M-004</x:v>
      </x:c>
      <x:c r="D11" s="24" t="str">
        <x:v>Compra</x:v>
      </x:c>
      <x:c r="E11" s="24" t="str">
        <x:v>Compra V-1005</x:v>
      </x:c>
      <x:c r="F11" s="24" t="n">
        <x:v>474</x:v>
      </x:c>
      <x:c r="G11" s="24" t="str">
        <x:v>V-1005</x:v>
      </x:c>
      <x:c r="H11" s="24" t="str">
        <x:v>OP-1005</x:v>
      </x:c>
      <x:c r="I11" s="24" t="str">
        <x:v>E-002</x:v>
      </x:c>
      <x:c r="J11" s="24" t="str">
        <x:v>Confirmado</x:v>
      </x:c>
      <x:c r="K11" s="24" t="n">
        <x:f>SUMIFS($F$6:$F$200,$C$6:$C$200,$C11,$B$6:$B$200,"&lt;="&amp;$B11,$J$6:$J$200,"Confirmado")</x:f>
        <x:v>474</x:v>
      </x:c>
      <x:c r="L11" s="25" t="str">
        <x:v>1 punto por cada $100</x:v>
      </x:c>
    </x:row>
    <x:row r="12" ht="15" hidden="0" customHeight="1">
      <x:c r="A12" s="26" t="str">
        <x:v>PT-007</x:v>
      </x:c>
      <x:c r="B12" s="42" t="n">
        <x:v>46277.5625</x:v>
      </x:c>
      <x:c r="C12" s="27" t="str">
        <x:v>M-003</x:v>
      </x:c>
      <x:c r="D12" s="27" t="str">
        <x:v>Ajuste</x:v>
      </x:c>
      <x:c r="E12" s="27" t="str">
        <x:v>Corrección acreditación</x:v>
      </x:c>
      <x:c r="F12" s="27" t="n">
        <x:v>100</x:v>
      </x:c>
      <x:c r="G12" s="27" t="str">
        <x:v>AJ-PT-01</x:v>
      </x:c>
      <x:c r="H12" s="27" t="str">
        <x:v>AJ-PT-01</x:v>
      </x:c>
      <x:c r="I12" s="27" t="str">
        <x:v>E-003</x:v>
      </x:c>
      <x:c r="J12" s="27" t="str">
        <x:v>Confirmado</x:v>
      </x:c>
      <x:c r="K12" s="27" t="n">
        <x:f>SUMIFS($F$6:$F$200,$C$6:$C$200,$C12,$B$6:$B$200,"&lt;="&amp;$B12,$J$6:$J$200,"Confirmado")</x:f>
        <x:v>1259</x:v>
      </x:c>
      <x:c r="L12" s="28" t="str">
        <x:v>Motivo documentado por administrador</x:v>
      </x:c>
    </x:row>
  </x:sheetData>
  <x:dataValidations count="2">
    <x:dataValidation type="list" sqref="D6:D200">
      <x:formula1>"Compra,Canje,Ajuste,Campaña,Vencimiento"</x:formula1>
    </x:dataValidation>
    <x:dataValidation type="list" sqref="J6:J200">
      <x:formula1>"Confirmado,Anulado,Pendiente"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fdf07c2a5a42e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8" hidden="0" customWidth="1"/>
    <x:col min="10" max="10" width="18" hidden="0" customWidth="1"/>
    <x:col min="11" max="11" width="15" hidden="0" customWidth="1"/>
    <x:col min="12" max="12" width="24" hidden="0" customWidth="1"/>
  </x:cols>
  <x:sheetData>
    <x:row r="1" ht="12" customHeight="1"/>
    <x:row r="2" ht="15" hidden="0" customHeight="1">
      <x:c r="A2" s="68" t="str">
        <x:v>Recompensas y canjes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</x:row>
    <x:row r="5" ht="15" hidden="0" customHeight="1">
      <x:c r="A5" s="81" t="str">
        <x:v>ID recompensa</x:v>
      </x:c>
      <x:c r="B5" s="81" t="str">
        <x:v>Recompensa</x:v>
      </x:c>
      <x:c r="C5" s="81" t="str">
        <x:v>Descripción</x:v>
      </x:c>
      <x:c r="D5" s="81" t="str">
        <x:v>Costo puntos</x:v>
      </x:c>
      <x:c r="E5" s="81" t="str">
        <x:v>Stock</x:v>
      </x:c>
      <x:c r="F5" s="81" t="str">
        <x:v>Inicio</x:v>
      </x:c>
      <x:c r="G5" s="81" t="str">
        <x:v>Fin</x:v>
      </x:c>
      <x:c r="H5" s="81" t="str">
        <x:v>ID socio</x:v>
      </x:c>
      <x:c r="I5" s="81" t="str">
        <x:v>ID canje</x:v>
      </x:c>
      <x:c r="J5" s="81" t="str">
        <x:v>Ticket canje</x:v>
      </x:c>
      <x:c r="K5" s="81" t="str">
        <x:v>Estado</x:v>
      </x:c>
      <x:c r="L5" s="81" t="str">
        <x:v>Nota</x:v>
      </x:c>
    </x:row>
    <x:row r="6" ht="15" hidden="0" customHeight="1">
      <x:c r="A6" s="20" t="str">
        <x:v>R-001</x:v>
      </x:c>
      <x:c r="B6" s="21" t="str">
        <x:v>Cookie de regalo</x:v>
      </x:c>
      <x:c r="C6" s="21" t="str">
        <x:v>Una cookie a elección</x:v>
      </x:c>
      <x:c r="D6" s="21" t="n">
        <x:v>500</x:v>
      </x:c>
      <x:c r="E6" s="21" t="n">
        <x:v>20</x:v>
      </x:c>
      <x:c r="F6" s="29" t="n">
        <x:v>46266</x:v>
      </x:c>
      <x:c r="G6" s="29" t="n">
        <x:v>46295</x:v>
      </x:c>
      <x:c r="H6" s="21" t="str">
        <x:v>M-002</x:v>
      </x:c>
      <x:c r="I6" s="21" t="str">
        <x:v>RJ-001</x:v>
      </x:c>
      <x:c r="J6" s="21" t="str">
        <x:v>CAN-001</x:v>
      </x:c>
      <x:c r="K6" s="21" t="str">
        <x:v>Validado</x:v>
      </x:c>
      <x:c r="L6" s="22" t="str">
        <x:v>Válido hasta fin del día</x:v>
      </x:c>
    </x:row>
    <x:row r="7" ht="15" hidden="0" customHeight="1">
      <x:c r="A7" s="23" t="str">
        <x:v>R-002</x:v>
      </x:c>
      <x:c r="B7" s="24" t="str">
        <x:v>Café clásico</x:v>
      </x:c>
      <x:c r="C7" s="24" t="str">
        <x:v>Espresso o americano</x:v>
      </x:c>
      <x:c r="D7" s="24" t="n">
        <x:v>650</x:v>
      </x:c>
      <x:c r="E7" s="24" t="n">
        <x:v>30</x:v>
      </x:c>
      <x:c r="F7" s="43" t="n">
        <x:v>46266</x:v>
      </x:c>
      <x:c r="G7" s="43" t="n">
        <x:v>46295</x:v>
      </x:c>
      <x:c r="H7" s="24" t="str">
        <x:v>M-001</x:v>
      </x:c>
      <x:c r="I7" s="24" t="str">
        <x:v>RJ-002</x:v>
      </x:c>
      <x:c r="J7" s="24" t="str">
        <x:v>CAN-002</x:v>
      </x:c>
      <x:c r="K7" s="24" t="str">
        <x:v>Disponible</x:v>
      </x:c>
      <x:c r="L7" s="25" t="str">
        <x:v>Catálogo activo</x:v>
      </x:c>
    </x:row>
    <x:row r="8" ht="15" hidden="0" customHeight="1">
      <x:c r="A8" s="23" t="str">
        <x:v>R-003</x:v>
      </x:c>
      <x:c r="B8" s="24" t="str">
        <x:v>Upgrade bebida</x:v>
      </x:c>
      <x:c r="C8" s="24" t="str">
        <x:v>Tamaño o extra shot</x:v>
      </x:c>
      <x:c r="D8" s="24" t="n">
        <x:v>800</x:v>
      </x:c>
      <x:c r="E8" s="24" t="n">
        <x:v>15</x:v>
      </x:c>
      <x:c r="F8" s="43" t="n">
        <x:v>46266</x:v>
      </x:c>
      <x:c r="G8" s="43" t="n">
        <x:v>46295</x:v>
      </x:c>
      <x:c r="H8" s="24" t="str">
        <x:v>M-003</x:v>
      </x:c>
      <x:c r="I8" s="24" t="str">
        <x:v>RJ-003</x:v>
      </x:c>
      <x:c r="J8" s="24" t="str">
        <x:v>CAN-003</x:v>
      </x:c>
      <x:c r="K8" s="24" t="str">
        <x:v>Disponible</x:v>
      </x:c>
      <x:c r="L8" s="25" t="str">
        <x:v>Catálogo activo</x:v>
      </x:c>
    </x:row>
    <x:row r="9" ht="15" hidden="0" customHeight="1">
      <x:c r="A9" s="26" t="str">
        <x:v>R-004</x:v>
      </x:c>
      <x:c r="B9" s="27" t="str">
        <x:v>Bolsa café molido</x:v>
      </x:c>
      <x:c r="C9" s="27" t="str">
        <x:v>Café molido 250 g</x:v>
      </x:c>
      <x:c r="D9" s="27" t="n">
        <x:v>1800</x:v>
      </x:c>
      <x:c r="E9" s="27" t="n">
        <x:v>5</x:v>
      </x:c>
      <x:c r="F9" s="44" t="n">
        <x:v>46266</x:v>
      </x:c>
      <x:c r="G9" s="44" t="n">
        <x:v>46295</x:v>
      </x:c>
      <x:c r="H9" s="27" t="str"/>
      <x:c r="I9" s="27" t="str"/>
      <x:c r="J9" s="27" t="str"/>
      <x:c r="K9" s="27" t="str">
        <x:v>Pausado</x:v>
      </x:c>
      <x:c r="L9" s="28" t="str">
        <x:v>Sin canjes nuevos</x:v>
      </x:c>
    </x:row>
  </x:sheetData>
  <x:conditionalFormatting sqref="K6:K9">
    <x:cfRule type="containsText" dxfId="2" priority="1" operator="containsText" text="Validado"/>
    <x:cfRule type="containsText" dxfId="3" priority="2" operator="containsText" text="Pausado"/>
  </x:conditionalFormatting>
  <x:dataValidations count="1">
    <x:dataValidation type="list" sqref="K6:K200">
      <x:formula1>"Disponible,Emitido,Validado,Vencido,Pausado"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ec647813ae481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4" hidden="0" customWidth="1"/>
    <x:col min="9" max="9" width="16" hidden="0" customWidth="1"/>
    <x:col min="10" max="10" width="28" hidden="0" customWidth="1"/>
  </x:cols>
  <x:sheetData>
    <x:row r="1" ht="12" customHeight="1"/>
    <x:row r="2" ht="15" hidden="0" customHeight="1">
      <x:c r="A2" s="68" t="str">
        <x:v>Caja del turno</x:v>
      </x:c>
      <x:c r="B2" s="82"/>
      <x:c r="C2" s="82"/>
      <x:c r="D2" s="82"/>
      <x:c r="E2" s="82"/>
      <x:c r="F2" s="82"/>
      <x:c r="G2" s="82"/>
      <x:c r="H2" s="82"/>
      <x:c r="I2" s="82"/>
      <x:c r="J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  <x:c r="I3" s="83"/>
      <x:c r="J3" s="83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</x:row>
    <x:row r="5" ht="15" hidden="0" customHeight="1">
      <x:c r="A5" s="81" t="str">
        <x:v>ID caja</x:v>
      </x:c>
      <x:c r="B5" s="81" t="str">
        <x:v>Fecha y hora</x:v>
      </x:c>
      <x:c r="C5" s="81" t="str">
        <x:v>Tipo</x:v>
      </x:c>
      <x:c r="D5" s="81" t="str">
        <x:v>Referencia</x:v>
      </x:c>
      <x:c r="E5" s="81" t="str">
        <x:v>Importe</x:v>
      </x:c>
      <x:c r="F5" s="81" t="str">
        <x:v>Sentido</x:v>
      </x:c>
      <x:c r="G5" s="81" t="str">
        <x:v>Responsable</x:v>
      </x:c>
      <x:c r="H5" s="81" t="str">
        <x:v>Estado</x:v>
      </x:c>
      <x:c r="I5" s="81" t="str">
        <x:v>Saldo acumulado</x:v>
      </x:c>
      <x:c r="J5" s="81" t="str">
        <x:v>Nota</x:v>
      </x:c>
    </x:row>
    <x:row r="6" ht="15" hidden="0" customHeight="1">
      <x:c r="A6" s="20" t="str">
        <x:v>CJ-001</x:v>
      </x:c>
      <x:c r="B6" s="40" t="n">
        <x:v>46277.458333333336</x:v>
      </x:c>
      <x:c r="C6" s="21" t="str">
        <x:v>Apertura</x:v>
      </x:c>
      <x:c r="D6" s="21" t="str">
        <x:v>Caja inicial</x:v>
      </x:c>
      <x:c r="E6" s="36" t="n">
        <x:v>35000</x:v>
      </x:c>
      <x:c r="F6" s="21" t="str">
        <x:v>Ingreso</x:v>
      </x:c>
      <x:c r="G6" s="21" t="str">
        <x:v>E-001</x:v>
      </x:c>
      <x:c r="H6" s="21" t="str">
        <x:v>Confirmado</x:v>
      </x:c>
      <x:c r="I6" s="36" t="n">
        <x:f>IF(F6="Ingreso",E6,-E6)</x:f>
        <x:v>35000</x:v>
      </x:c>
      <x:c r="J6" s="22" t="str">
        <x:v>Turno mañana</x:v>
      </x:c>
    </x:row>
    <x:row r="7" ht="15" hidden="0" customHeight="1">
      <x:c r="A7" s="23" t="str">
        <x:v>CJ-002</x:v>
      </x:c>
      <x:c r="B7" s="41" t="n">
        <x:v>46277.53125</x:v>
      </x:c>
      <x:c r="C7" s="24" t="str">
        <x:v>Venta</x:v>
      </x:c>
      <x:c r="D7" s="24" t="str">
        <x:v>V-1005</x:v>
      </x:c>
      <x:c r="E7" s="31" t="n">
        <x:f>SUMIFS('Ventas'!$I$6:$I$200,'Ventas'!$A$6:$A$200,$D7,'Ventas'!$J$6:$J$200,"Abonada")</x:f>
        <x:v>47400</x:v>
      </x:c>
      <x:c r="F7" s="24" t="str">
        <x:v>Ingreso</x:v>
      </x:c>
      <x:c r="G7" s="24" t="str">
        <x:v>E-002</x:v>
      </x:c>
      <x:c r="H7" s="24" t="str">
        <x:v>Confirmado</x:v>
      </x:c>
      <x:c r="I7" s="31" t="n">
        <x:f>I6+IF(F7="Ingreso",E7,-E7)</x:f>
        <x:v>82400</x:v>
      </x:c>
      <x:c r="J7" s="25" t="str">
        <x:v>Cobro crédito</x:v>
      </x:c>
    </x:row>
    <x:row r="8" ht="15" hidden="0" customHeight="1">
      <x:c r="A8" s="23" t="str">
        <x:v>CJ-003</x:v>
      </x:c>
      <x:c r="B8" s="41" t="n">
        <x:v>46277.552083333336</x:v>
      </x:c>
      <x:c r="C8" s="24" t="str">
        <x:v>Gasto</x:v>
      </x:c>
      <x:c r="D8" s="24" t="str">
        <x:v>GS-005</x:v>
      </x:c>
      <x:c r="E8" s="31" t="n">
        <x:v>15000</x:v>
      </x:c>
      <x:c r="F8" s="24" t="str">
        <x:v>Egreso</x:v>
      </x:c>
      <x:c r="G8" s="24" t="str">
        <x:v>E-001</x:v>
      </x:c>
      <x:c r="H8" s="24" t="str">
        <x:v>Confirmado</x:v>
      </x:c>
      <x:c r="I8" s="31" t="n">
        <x:f>I7+IF(F8="Ingreso",E8,-E8)</x:f>
        <x:v>67400</x:v>
      </x:c>
      <x:c r="J8" s="25" t="str">
        <x:v>Limpieza</x:v>
      </x:c>
    </x:row>
    <x:row r="9" ht="15" hidden="0" customHeight="1">
      <x:c r="A9" s="26" t="str">
        <x:v>CJ-004</x:v>
      </x:c>
      <x:c r="B9" s="42" t="n">
        <x:v>46277.958333333336</x:v>
      </x:c>
      <x:c r="C9" s="27" t="str">
        <x:v>Cierre</x:v>
      </x:c>
      <x:c r="D9" s="27" t="str">
        <x:v>Arqueo</x:v>
      </x:c>
      <x:c r="E9" s="37"/>
      <x:c r="F9" s="27" t="str">
        <x:v>Cierre</x:v>
      </x:c>
      <x:c r="G9" s="27" t="str">
        <x:v>E-001</x:v>
      </x:c>
      <x:c r="H9" s="27" t="str">
        <x:v>Pendiente</x:v>
      </x:c>
      <x:c r="I9" s="37" t="n">
        <x:f>I8+IF(F9="Ingreso",E9,-E9)</x:f>
        <x:v>67400</x:v>
      </x:c>
      <x:c r="J9" s="28" t="str">
        <x:v>Completar al cierre</x:v>
      </x:c>
    </x:row>
  </x:sheetData>
  <x:dataValidations count="2">
    <x:dataValidation type="list" sqref="C6:C200">
      <x:formula1>"Apertura,Venta,Gasto,Retiro,Ingreso extra,Cierre"</x:formula1>
    </x:dataValidation>
    <x:dataValidation type="list" sqref="F6:F200">
      <x:formula1>"Ingreso,Egreso,Cierre"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9f6f6242dd495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8" hidden="0" customWidth="1"/>
    <x:col min="4" max="4" width="22" hidden="0" customWidth="1"/>
    <x:col min="5" max="5" width="14" hidden="0" customWidth="1"/>
    <x:col min="6" max="6" width="15" hidden="0" customWidth="1"/>
    <x:col min="7" max="7" width="16" hidden="0" customWidth="1"/>
    <x:col min="8" max="8" width="16" hidden="0" customWidth="1"/>
    <x:col min="9" max="9" width="14" hidden="0" customWidth="1"/>
    <x:col min="10" max="10" width="26" hidden="0" customWidth="1"/>
  </x:cols>
  <x:sheetData>
    <x:row r="1" ht="12" customHeight="1"/>
    <x:row r="2" ht="15" hidden="0" customHeight="1">
      <x:c r="A2" s="68" t="str">
        <x:v>Gastos operativos</x:v>
      </x:c>
      <x:c r="B2" s="82"/>
      <x:c r="C2" s="82"/>
      <x:c r="D2" s="82"/>
      <x:c r="E2" s="82"/>
      <x:c r="F2" s="82"/>
      <x:c r="G2" s="82"/>
      <x:c r="H2" s="82"/>
      <x:c r="I2" s="82"/>
      <x:c r="J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  <x:c r="I3" s="83"/>
      <x:c r="J3" s="83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</x:row>
    <x:row r="5" ht="15" hidden="0" customHeight="1">
      <x:c r="A5" s="81" t="str">
        <x:v>ID gasto</x:v>
      </x:c>
      <x:c r="B5" s="81" t="str">
        <x:v>Fecha</x:v>
      </x:c>
      <x:c r="C5" s="81" t="str">
        <x:v>Categoría</x:v>
      </x:c>
      <x:c r="D5" s="81" t="str">
        <x:v>Concepto</x:v>
      </x:c>
      <x:c r="E5" s="81" t="str">
        <x:v>Importe</x:v>
      </x:c>
      <x:c r="F5" s="81" t="str">
        <x:v>Medio pago</x:v>
      </x:c>
      <x:c r="G5" s="81" t="str">
        <x:v>Responsable</x:v>
      </x:c>
      <x:c r="H5" s="81" t="str">
        <x:v>Estado</x:v>
      </x:c>
      <x:c r="I5" s="81" t="str">
        <x:v>Naturaleza</x:v>
      </x:c>
      <x:c r="J5" s="81" t="str">
        <x:v>Nota</x:v>
      </x:c>
    </x:row>
    <x:row r="6" ht="15" hidden="0" customHeight="1">
      <x:c r="A6" s="20" t="str">
        <x:v>GS-001</x:v>
      </x:c>
      <x:c r="B6" s="29" t="n">
        <x:v>46267</x:v>
      </x:c>
      <x:c r="C6" s="21" t="str">
        <x:v>Servicios</x:v>
      </x:c>
      <x:c r="D6" s="21" t="str">
        <x:v>Electricidad</x:v>
      </x:c>
      <x:c r="E6" s="36" t="n">
        <x:v>58400</x:v>
      </x:c>
      <x:c r="F6" s="21" t="str">
        <x:v>Transferencia</x:v>
      </x:c>
      <x:c r="G6" s="21" t="str">
        <x:v>E-003</x:v>
      </x:c>
      <x:c r="H6" s="21" t="str">
        <x:v>Pagado</x:v>
      </x:c>
      <x:c r="I6" s="21" t="str">
        <x:v>Fijo</x:v>
      </x:c>
      <x:c r="J6" s="22" t="str">
        <x:v>Factura SEP-26</x:v>
      </x:c>
    </x:row>
    <x:row r="7" ht="15" hidden="0" customHeight="1">
      <x:c r="A7" s="23" t="str">
        <x:v>GS-002</x:v>
      </x:c>
      <x:c r="B7" s="43" t="n">
        <x:v>46269</x:v>
      </x:c>
      <x:c r="C7" s="24" t="str">
        <x:v>Marketing</x:v>
      </x:c>
      <x:c r="D7" s="24" t="str">
        <x:v>Anuncios redes</x:v>
      </x:c>
      <x:c r="E7" s="31" t="n">
        <x:v>45000</x:v>
      </x:c>
      <x:c r="F7" s="24" t="str">
        <x:v>Tarjeta</x:v>
      </x:c>
      <x:c r="G7" s="24" t="str">
        <x:v>E-003</x:v>
      </x:c>
      <x:c r="H7" s="24" t="str">
        <x:v>Pagado</x:v>
      </x:c>
      <x:c r="I7" s="24" t="str">
        <x:v>Variable</x:v>
      </x:c>
      <x:c r="J7" s="25" t="str">
        <x:v>Campaña lanzamiento</x:v>
      </x:c>
    </x:row>
    <x:row r="8" ht="15" hidden="0" customHeight="1">
      <x:c r="A8" s="23" t="str">
        <x:v>GS-003</x:v>
      </x:c>
      <x:c r="B8" s="43" t="n">
        <x:v>46272</x:v>
      </x:c>
      <x:c r="C8" s="24" t="str">
        <x:v>Mantenimiento</x:v>
      </x:c>
      <x:c r="D8" s="24" t="str">
        <x:v>Reparación molino</x:v>
      </x:c>
      <x:c r="E8" s="31" t="n">
        <x:v>38000</x:v>
      </x:c>
      <x:c r="F8" s="24" t="str">
        <x:v>Efectivo</x:v>
      </x:c>
      <x:c r="G8" s="24" t="str">
        <x:v>E-001</x:v>
      </x:c>
      <x:c r="H8" s="24" t="str">
        <x:v>Pagado</x:v>
      </x:c>
      <x:c r="I8" s="24" t="str">
        <x:v>Variable</x:v>
      </x:c>
      <x:c r="J8" s="25" t="str">
        <x:v>Servicio técnico</x:v>
      </x:c>
    </x:row>
    <x:row r="9" ht="15" hidden="0" customHeight="1">
      <x:c r="A9" s="23" t="str">
        <x:v>GS-004</x:v>
      </x:c>
      <x:c r="B9" s="43" t="n">
        <x:v>46274</x:v>
      </x:c>
      <x:c r="C9" s="24" t="str">
        <x:v>Alquiler</x:v>
      </x:c>
      <x:c r="D9" s="24" t="str">
        <x:v>Alquiler local</x:v>
      </x:c>
      <x:c r="E9" s="31" t="n">
        <x:v>320000</x:v>
      </x:c>
      <x:c r="F9" s="24" t="str">
        <x:v>Transferencia</x:v>
      </x:c>
      <x:c r="G9" s="24" t="str">
        <x:v>E-003</x:v>
      </x:c>
      <x:c r="H9" s="24" t="str">
        <x:v>Pagado</x:v>
      </x:c>
      <x:c r="I9" s="24" t="str">
        <x:v>Fijo</x:v>
      </x:c>
      <x:c r="J9" s="25" t="str">
        <x:v>Septiembre</x:v>
      </x:c>
    </x:row>
    <x:row r="10" ht="15" hidden="0" customHeight="1">
      <x:c r="A10" s="26" t="str">
        <x:v>GS-005</x:v>
      </x:c>
      <x:c r="B10" s="44" t="n">
        <x:v>46277</x:v>
      </x:c>
      <x:c r="C10" s="27" t="str">
        <x:v>Limpieza</x:v>
      </x:c>
      <x:c r="D10" s="27" t="str">
        <x:v>Insumos limpieza</x:v>
      </x:c>
      <x:c r="E10" s="37" t="n">
        <x:v>15000</x:v>
      </x:c>
      <x:c r="F10" s="27" t="str">
        <x:v>Efectivo</x:v>
      </x:c>
      <x:c r="G10" s="27" t="str">
        <x:v>E-001</x:v>
      </x:c>
      <x:c r="H10" s="27" t="str">
        <x:v>Pagado</x:v>
      </x:c>
      <x:c r="I10" s="27" t="str">
        <x:v>Variable</x:v>
      </x:c>
      <x:c r="J10" s="28" t="str">
        <x:v>Afecta caja</x:v>
      </x:c>
    </x:row>
  </x:sheetData>
  <x:dataValidations count="1">
    <x:dataValidation type="list" sqref="C6:C200">
      <x:formula1>"Servicios,Marketing,Mantenimiento,Alquiler,Limpieza,Sueldos,Otros"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4ad65a77f749b5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4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24" hidden="0" customWidth="1"/>
  </x:cols>
  <x:sheetData>
    <x:row r="1" ht="12" customHeight="1"/>
    <x:row r="2" ht="15" hidden="0" customHeight="1">
      <x:c r="A2" s="68" t="str">
        <x:v>Empleados y usuarios</x:v>
      </x:c>
      <x:c r="B2" s="82"/>
      <x:c r="C2" s="82"/>
      <x:c r="D2" s="82"/>
      <x:c r="E2" s="82"/>
      <x:c r="F2" s="82"/>
      <x:c r="G2" s="82"/>
      <x:c r="H2" s="82"/>
      <x:c r="I2" s="82"/>
      <x:c r="J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  <x:c r="I3" s="83"/>
      <x:c r="J3" s="83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</x:row>
    <x:row r="5" ht="15" hidden="0" customHeight="1">
      <x:c r="A5" s="81" t="str">
        <x:v>ID empleado</x:v>
      </x:c>
      <x:c r="B5" s="81" t="str">
        <x:v>Nombre</x:v>
      </x:c>
      <x:c r="C5" s="81" t="str">
        <x:v>Email</x:v>
      </x:c>
      <x:c r="D5" s="81" t="str">
        <x:v>Rol</x:v>
      </x:c>
      <x:c r="E5" s="81" t="str">
        <x:v>Estado</x:v>
      </x:c>
      <x:c r="F5" s="81" t="str">
        <x:v>Ingreso</x:v>
      </x:c>
      <x:c r="G5" s="81" t="str">
        <x:v>Turno</x:v>
      </x:c>
      <x:c r="H5" s="81" t="str">
        <x:v>Permisos</x:v>
      </x:c>
      <x:c r="I5" s="81" t="str">
        <x:v>Área</x:v>
      </x:c>
      <x:c r="J5" s="81" t="str">
        <x:v>Nota</x:v>
      </x:c>
    </x:row>
    <x:row r="6" ht="15" hidden="0" customHeight="1">
      <x:c r="A6" s="20" t="str">
        <x:v>E-001</x:v>
      </x:c>
      <x:c r="B6" s="21" t="str">
        <x:v>Lucía Marín</x:v>
      </x:c>
      <x:c r="C6" s="21" t="str">
        <x:v>lucia@ramax.ar</x:v>
      </x:c>
      <x:c r="D6" s="21" t="str">
        <x:v>Barista</x:v>
      </x:c>
      <x:c r="E6" s="21" t="str">
        <x:v>Activo</x:v>
      </x:c>
      <x:c r="F6" s="29" t="n">
        <x:v>45962</x:v>
      </x:c>
      <x:c r="G6" s="21" t="str">
        <x:v>Mañana</x:v>
      </x:c>
      <x:c r="H6" s="21" t="str">
        <x:v>Caja, ventas y canjes</x:v>
      </x:c>
      <x:c r="I6" s="21" t="str">
        <x:v>Caja</x:v>
      </x:c>
      <x:c r="J6" s="22" t="str"/>
    </x:row>
    <x:row r="7" ht="15" hidden="0" customHeight="1">
      <x:c r="A7" s="23" t="str">
        <x:v>E-002</x:v>
      </x:c>
      <x:c r="B7" s="24" t="str">
        <x:v>Tomás Rivas</x:v>
      </x:c>
      <x:c r="C7" s="24" t="str">
        <x:v>tomas@ramax.ar</x:v>
      </x:c>
      <x:c r="D7" s="24" t="str">
        <x:v>Barista</x:v>
      </x:c>
      <x:c r="E7" s="24" t="str">
        <x:v>Activo</x:v>
      </x:c>
      <x:c r="F7" s="43" t="n">
        <x:v>46082</x:v>
      </x:c>
      <x:c r="G7" s="24" t="str">
        <x:v>Tarde</x:v>
      </x:c>
      <x:c r="H7" s="24" t="str">
        <x:v>Caja, ventas y canjes</x:v>
      </x:c>
      <x:c r="I7" s="24" t="str">
        <x:v>Caja</x:v>
      </x:c>
      <x:c r="J7" s="25" t="str"/>
    </x:row>
    <x:row r="8" ht="15" hidden="0" customHeight="1">
      <x:c r="A8" s="26" t="str">
        <x:v>E-003</x:v>
      </x:c>
      <x:c r="B8" s="27" t="str">
        <x:v>Martín Soto</x:v>
      </x:c>
      <x:c r="C8" s="27" t="str">
        <x:v>martin@ramax.ar</x:v>
      </x:c>
      <x:c r="D8" s="27" t="str">
        <x:v>Administrador</x:v>
      </x:c>
      <x:c r="E8" s="27" t="str">
        <x:v>Activo</x:v>
      </x:c>
      <x:c r="F8" s="44" t="n">
        <x:v>45823</x:v>
      </x:c>
      <x:c r="G8" s="27" t="str">
        <x:v>Flexible</x:v>
      </x:c>
      <x:c r="H8" s="27" t="str">
        <x:v>Administración total</x:v>
      </x:c>
      <x:c r="I8" s="27" t="str">
        <x:v>Administración</x:v>
      </x:c>
      <x:c r="J8" s="28" t="str">
        <x:v>Autoriza ajustes</x:v>
      </x:c>
    </x:row>
  </x:sheetData>
  <x:dataValidations count="2">
    <x:dataValidation type="list" sqref="D6:D200">
      <x:formula1>"Barista,Encargado,Administrador"</x:formula1>
    </x:dataValidation>
    <x:dataValidation type="list" sqref="E6:E200">
      <x:formula1>"Activo,Inactivo"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bd28b2a640426e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4" hidden="0" customWidth="1"/>
    <x:col min="13" max="13" width="16" hidden="0" customWidth="1"/>
    <x:col min="14" max="14" width="28" hidden="0" customWidth="1"/>
  </x:cols>
  <x:sheetData>
    <x:row r="1" ht="12" customHeight="1"/>
    <x:row r="2" ht="15" hidden="0" customHeight="1">
      <x:c r="A2" s="68" t="str">
        <x:v>Campañas y promociones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</x:row>
    <x:row r="3" ht="15" hidden="0" customHeight="1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</x:row>
    <x:row r="5" ht="15" hidden="0" customHeight="1">
      <x:c r="A5" s="81" t="str">
        <x:v>ID campaña</x:v>
      </x:c>
      <x:c r="B5" s="81" t="str">
        <x:v>Nombre</x:v>
      </x:c>
      <x:c r="C5" s="81" t="str">
        <x:v>Tipo</x:v>
      </x:c>
      <x:c r="D5" s="81" t="str">
        <x:v>Inicio</x:v>
      </x:c>
      <x:c r="E5" s="81" t="str">
        <x:v>Fin</x:v>
      </x:c>
      <x:c r="F5" s="81" t="str">
        <x:v>QR distribuidos</x:v>
      </x:c>
      <x:c r="G5" s="81" t="str">
        <x:v>Escaneos</x:v>
      </x:c>
      <x:c r="H5" s="81" t="str">
        <x:v>Registros</x:v>
      </x:c>
      <x:c r="I5" s="81" t="str">
        <x:v>Visitas</x:v>
      </x:c>
      <x:c r="J5" s="81" t="str">
        <x:v>Compras</x:v>
      </x:c>
      <x:c r="K5" s="81" t="str">
        <x:v>Premio puntos</x:v>
      </x:c>
      <x:c r="L5" s="81" t="str">
        <x:v>Estado</x:v>
      </x:c>
      <x:c r="M5" s="81" t="str">
        <x:v>Nota</x:v>
      </x:c>
      <x:c r="N5" s="81" t="str">
        <x:v>Conversión compra</x:v>
      </x:c>
    </x:row>
    <x:row r="6" ht="15" hidden="0" customHeight="1">
      <x:c r="A6" s="20" t="str">
        <x:v>CAM-001</x:v>
      </x:c>
      <x:c r="B6" s="21" t="str">
        <x:v>Café escondido</x:v>
      </x:c>
      <x:c r="C6" s="21" t="str">
        <x:v>QR sorpresa</x:v>
      </x:c>
      <x:c r="D6" s="29" t="n">
        <x:v>46266</x:v>
      </x:c>
      <x:c r="E6" s="29" t="n">
        <x:v>46295</x:v>
      </x:c>
      <x:c r="F6" s="21" t="n">
        <x:v>50</x:v>
      </x:c>
      <x:c r="G6" s="21" t="n">
        <x:v>38</x:v>
      </x:c>
      <x:c r="H6" s="21" t="n">
        <x:v>31</x:v>
      </x:c>
      <x:c r="I6" s="21" t="n">
        <x:v>24</x:v>
      </x:c>
      <x:c r="J6" s="21" t="n">
        <x:v>19</x:v>
      </x:c>
      <x:c r="K6" s="21" t="n">
        <x:v>200</x:v>
      </x:c>
      <x:c r="L6" s="21" t="str">
        <x:v>Activa</x:v>
      </x:c>
      <x:c r="M6" s="21" t="str">
        <x:v>QR individuales; 1 canje por socio</x:v>
      </x:c>
      <x:c r="N6" s="45" t="n">
        <x:f>IF(G6=0,"n.a.",J6/G6)</x:f>
        <x:v>0.5</x:v>
      </x:c>
    </x:row>
    <x:row r="7" ht="15" hidden="0" customHeight="1">
      <x:c r="A7" s="23" t="str">
        <x:v>CAM-002</x:v>
      </x:c>
      <x:c r="B7" s="24" t="str">
        <x:v>Semana del cappuccino</x:v>
      </x:c>
      <x:c r="C7" s="24" t="str">
        <x:v>Descuento</x:v>
      </x:c>
      <x:c r="D7" s="43" t="n">
        <x:v>46273</x:v>
      </x:c>
      <x:c r="E7" s="43" t="n">
        <x:v>46279</x:v>
      </x:c>
      <x:c r="F7" s="24" t="n">
        <x:v>100</x:v>
      </x:c>
      <x:c r="G7" s="24" t="n">
        <x:v>62</x:v>
      </x:c>
      <x:c r="H7" s="24" t="n">
        <x:v>12</x:v>
      </x:c>
      <x:c r="I7" s="24" t="n">
        <x:v>9</x:v>
      </x:c>
      <x:c r="J7" s="24" t="n">
        <x:v>7</x:v>
      </x:c>
      <x:c r="K7" s="24" t="n">
        <x:v>150</x:v>
      </x:c>
      <x:c r="L7" s="24" t="str">
        <x:v>Activa</x:v>
      </x:c>
      <x:c r="M7" s="24" t="str">
        <x:v>Código en mostrador</x:v>
      </x:c>
      <x:c r="N7" s="46" t="n">
        <x:f>IF(G7=0,"n.a.",J7/G7)</x:f>
        <x:v>0.11290322580645161</x:v>
      </x:c>
    </x:row>
    <x:row r="8" ht="15" hidden="0" customHeight="1">
      <x:c r="A8" s="26" t="str">
        <x:v>CAM-003</x:v>
      </x:c>
      <x:c r="B8" s="27" t="str">
        <x:v>Cumpleaños Ramax</x:v>
      </x:c>
      <x:c r="C8" s="27" t="str">
        <x:v>Puntos</x:v>
      </x:c>
      <x:c r="D8" s="44" t="n">
        <x:v>46280</x:v>
      </x:c>
      <x:c r="E8" s="44" t="n">
        <x:v>46295</x:v>
      </x:c>
      <x:c r="F8" s="27" t="n">
        <x:v>40</x:v>
      </x:c>
      <x:c r="G8" s="27" t="n">
        <x:v>0</x:v>
      </x:c>
      <x:c r="H8" s="27" t="n">
        <x:v>0</x:v>
      </x:c>
      <x:c r="I8" s="27" t="n">
        <x:v>0</x:v>
      </x:c>
      <x:c r="J8" s="27" t="n">
        <x:v>0</x:v>
      </x:c>
      <x:c r="K8" s="27" t="n">
        <x:v>300</x:v>
      </x:c>
      <x:c r="L8" s="27" t="str">
        <x:v>Programada</x:v>
      </x:c>
      <x:c r="M8" s="27" t="str">
        <x:v>Se envía por email</x:v>
      </x:c>
      <x:c r="N8" s="47" t="str">
        <x:f>IF(G8=0,"n.a.",J8/G8)</x:f>
        <x:v>n.a.</x:v>
      </x:c>
    </x:row>
  </x:sheetData>
  <x:dataValidations count="1">
    <x:dataValidation type="list" sqref="L6:L200">
      <x:formula1>"Programada,Activa,Pausada,Finalizada"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3d6eb3aee64a04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28" hidden="0" customWidth="1"/>
  </x:cols>
  <x:sheetData>
    <x:row r="1" ht="12" customHeight="1"/>
    <x:row r="2" ht="15" hidden="0" customHeight="1">
      <x:c r="A2" s="68" t="str">
        <x:v>Auditoría y conciliaciones</x:v>
      </x:c>
      <x:c r="B2" s="82"/>
      <x:c r="C2" s="82"/>
      <x:c r="D2" s="82"/>
      <x:c r="E2" s="82"/>
      <x:c r="F2" s="82"/>
    </x:row>
    <x:row r="3" ht="15" hidden="0" customHeight="1">
      <x:c r="A3" s="83"/>
      <x:c r="B3" s="83"/>
      <x:c r="C3" s="83"/>
      <x:c r="D3" s="83"/>
      <x:c r="E3" s="83"/>
      <x:c r="F3" s="83"/>
    </x:row>
    <x:row r="4" ht="15" hidden="0" customHeight="1">
      <x:c r="A4" s="82"/>
      <x:c r="B4" s="82"/>
      <x:c r="C4" s="82"/>
      <x:c r="D4" s="82"/>
      <x:c r="E4" s="82"/>
      <x:c r="F4" s="82"/>
    </x:row>
    <x:row r="5" ht="15" hidden="0" customHeight="1">
      <x:c r="A5" s="81" t="str">
        <x:v>Control</x:v>
      </x:c>
      <x:c r="B5" s="81" t="str">
        <x:v>Valor calculado</x:v>
      </x:c>
      <x:c r="C5" s="81" t="str">
        <x:v>Valor esperado</x:v>
      </x:c>
      <x:c r="D5" s="81" t="str">
        <x:v>Diferencia</x:v>
      </x:c>
      <x:c r="E5" s="81" t="str">
        <x:v>Estado</x:v>
      </x:c>
      <x:c r="F5" s="81" t="str">
        <x:v>Nota</x:v>
      </x:c>
    </x:row>
    <x:row r="6" ht="15" hidden="0" customHeight="1">
      <x:c r="A6" s="20" t="str">
        <x:v>Ventas vs. detalle</x:v>
      </x:c>
      <x:c r="B6" s="21" t="n">
        <x:f>SUM('Ventas'!$G$6:$G$200)-SUM('Detalle ventas'!$G$6:$G$200)</x:f>
        <x:v>0</x:v>
      </x:c>
      <x:c r="C6" s="21" t="n">
        <x:v>0</x:v>
      </x:c>
      <x:c r="D6" s="21" t="n">
        <x:f>B6-C6</x:f>
        <x:v>0</x:v>
      </x:c>
      <x:c r="E6" s="21" t="str">
        <x:f>IF(D6=0,"OK","REVISAR")</x:f>
        <x:v>OK</x:v>
      </x:c>
      <x:c r="F6" s="22" t="str">
        <x:v>Debe conciliar importes brutos</x:v>
      </x:c>
    </x:row>
    <x:row r="7" ht="15" hidden="0" customHeight="1">
      <x:c r="A7" s="23" t="str">
        <x:v>Puntos de compras vs. regla</x:v>
      </x:c>
      <x:c r="B7" s="24" t="n">
        <x:f>SUMIFS('Mov. puntos'!$F$6:$F$200,'Mov. puntos'!$D$6:$D$200,"Compra")-SUMPRODUCT(('Ventas'!$D$6:$D$200&lt;&gt;"")*'Ventas'!$I$6:$I$200/100)</x:f>
        <x:v>0</x:v>
      </x:c>
      <x:c r="C7" s="24" t="n">
        <x:v>0</x:v>
      </x:c>
      <x:c r="D7" s="24" t="n">
        <x:f>B7-C7</x:f>
        <x:v>0</x:v>
      </x:c>
      <x:c r="E7" s="24" t="str">
        <x:f>IF(D7=0,"OK","REVISAR")</x:f>
        <x:v>OK</x:v>
      </x:c>
      <x:c r="F7" s="25" t="str">
        <x:v>Puntos acreditados desde ventas</x:v>
      </x:c>
    </x:row>
    <x:row r="8" ht="15" hidden="0" customHeight="1">
      <x:c r="A8" s="23" t="str">
        <x:v>Canje validado vs. puntos descontados</x:v>
      </x:c>
      <x:c r="B8" s="24" t="n">
        <x:f>SUMIFS('Mov. puntos'!$F$6:$F$200,'Mov. puntos'!$G$6:$G$200,"RJ-001")</x:f>
        <x:v>-500</x:v>
      </x:c>
      <x:c r="C8" s="24" t="n">
        <x:v>-500</x:v>
      </x:c>
      <x:c r="D8" s="24" t="n">
        <x:f>B8-C8</x:f>
        <x:v>0</x:v>
      </x:c>
      <x:c r="E8" s="24" t="str">
        <x:f>IF(D8=0,"OK","REVISAR")</x:f>
        <x:v>OK</x:v>
      </x:c>
      <x:c r="F8" s="25" t="str">
        <x:v>Ticket CAN-001</x:v>
      </x:c>
    </x:row>
    <x:row r="9" ht="15" hidden="0" customHeight="1">
      <x:c r="A9" s="23" t="str">
        <x:v>Stock no negativo</x:v>
      </x:c>
      <x:c r="B9" s="24" t="n">
        <x:f>MIN('Stock actual'!$I$6:$I$11)</x:f>
        <x:v>78</x:v>
      </x:c>
      <x:c r="C9" s="24" t="n">
        <x:v>0</x:v>
      </x:c>
      <x:c r="D9" s="24" t="n">
        <x:f>IF(B9&gt;=0,0,B9)</x:f>
        <x:v>0</x:v>
      </x:c>
      <x:c r="E9" s="24" t="str">
        <x:f>IF(B9&gt;=0,"OK","REVISAR")</x:f>
        <x:v>OK</x:v>
      </x:c>
      <x:c r="F9" s="25" t="str">
        <x:v>Verificar saldo por insumo</x:v>
      </x:c>
    </x:row>
    <x:row r="10" ht="15" hidden="0" customHeight="1">
      <x:c r="A10" s="23" t="str">
        <x:v>QR no guarda saldo</x:v>
      </x:c>
      <x:c r="B10" s="24" t="str">
        <x:v>OK</x:v>
      </x:c>
      <x:c r="C10" s="24" t="str">
        <x:v>OK</x:v>
      </x:c>
      <x:c r="D10" s="24"/>
      <x:c r="E10" s="24" t="str">
        <x:f>IF(B10=C10,"OK","REVISAR")</x:f>
        <x:v>OK</x:v>
      </x:c>
      <x:c r="F10" s="25" t="str">
        <x:v>Identificador separado del libro de puntos</x:v>
      </x:c>
    </x:row>
    <x:row r="11" ht="15" hidden="0" customHeight="1">
      <x:c r="A11" s="26" t="str">
        <x:v>Operaciones sin identificador</x:v>
      </x:c>
      <x:c r="B11" s="27" t="n">
        <x:f>SUMPRODUCT(('Ventas'!$A$6:$A$200&lt;&gt;"")*('Ventas'!$K$6:$K$200=""))</x:f>
        <x:v>0</x:v>
      </x:c>
      <x:c r="C11" s="27" t="n">
        <x:v>0</x:v>
      </x:c>
      <x:c r="D11" s="27" t="n">
        <x:f>B11-C11</x:f>
        <x:v>0</x:v>
      </x:c>
      <x:c r="E11" s="27" t="str">
        <x:f>IF(D11=0,"OK","REVISAR")</x:f>
        <x:v>OK</x:v>
      </x:c>
      <x:c r="F11" s="28" t="str">
        <x:v>Cada compra debe tener un ID de operación</x:v>
      </x:c>
    </x:row>
  </x:sheetData>
  <x:conditionalFormatting sqref="E6:E11">
    <x:cfRule type="containsText" dxfId="4" priority="1" operator="containsText" text="REVISAR"/>
    <x:cfRule type="containsText" dxfId="5" priority="2" operator="containsText" text="OK"/>
  </x:conditionalFormatting>
  <x:pageMargins left="0.7" right="0.7" top="0.75" bottom="0.75" header="0.3" footer="0.3"/>
</x:worksheet>
</file>